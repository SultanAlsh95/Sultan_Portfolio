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ho\Document\projects excel\markov Model_excel\cav_markov_model\scripts\"/>
    </mc:Choice>
  </mc:AlternateContent>
  <xr:revisionPtr revIDLastSave="0" documentId="13_ncr:1_{56EB6AD2-F578-416A-9383-1E35CF50B4E6}" xr6:coauthVersionLast="47" xr6:coauthVersionMax="47" xr10:uidLastSave="{00000000-0000-0000-0000-000000000000}"/>
  <bookViews>
    <workbookView xWindow="1485" yWindow="1035" windowWidth="21600" windowHeight="11295" xr2:uid="{C30CC9B3-991F-4993-970C-1480AD290952}"/>
  </bookViews>
  <sheets>
    <sheet name="1_plan" sheetId="5" r:id="rId1"/>
    <sheet name="2_Data" sheetId="2" r:id="rId2"/>
    <sheet name="3_Parameters" sheetId="3" r:id="rId3"/>
    <sheet name="4_Transitions" sheetId="4" r:id="rId4"/>
    <sheet name="5_Markov_SC" sheetId="6" r:id="rId5"/>
    <sheet name="6_Markov_EVE" sheetId="7" r:id="rId6"/>
    <sheet name="7_Results" sheetId="8" r:id="rId7"/>
    <sheet name="8_DSA" sheetId="9" r:id="rId8"/>
    <sheet name="9_PSA" sheetId="10" r:id="rId9"/>
  </sheets>
  <definedNames>
    <definedName name="age_start">'3_Parameters'!$B$11</definedName>
    <definedName name="Az_11">'4_Transitions'!$B$4</definedName>
    <definedName name="Az_12">'4_Transitions'!$C$4</definedName>
    <definedName name="Az_13">'4_Transitions'!$D$4</definedName>
    <definedName name="Az_14">'4_Transitions'!$E$4</definedName>
    <definedName name="Az_21">'4_Transitions'!$B$5</definedName>
    <definedName name="Az_22">'4_Transitions'!$C$5</definedName>
    <definedName name="Az_23">'4_Transitions'!$D$5</definedName>
    <definedName name="Az_24">'4_Transitions'!$E$5</definedName>
    <definedName name="Az_31">'4_Transitions'!$B$6</definedName>
    <definedName name="Az_32">'4_Transitions'!$C$6</definedName>
    <definedName name="Az_33">'4_Transitions'!$D$6</definedName>
    <definedName name="Az_34">'4_Transitions'!$E$6</definedName>
    <definedName name="Az_41">'4_Transitions'!$B$7</definedName>
    <definedName name="Az_42">'4_Transitions'!$C$7</definedName>
    <definedName name="Az_43">'4_Transitions'!$D$7</definedName>
    <definedName name="Az_44">'4_Transitions'!$E$7</definedName>
    <definedName name="C_1">'3_Parameters'!$C$46</definedName>
    <definedName name="C_2">'3_Parameters'!$D$46</definedName>
    <definedName name="C_3">'3_Parameters'!$E$46</definedName>
    <definedName name="C_4">'3_Parameters'!$E$47</definedName>
    <definedName name="c_aza">'3_Parameters'!$D$27</definedName>
    <definedName name="c_eve">'3_Parameters'!$D$26</definedName>
    <definedName name="dec_2">'3_Parameters'!$B$37</definedName>
    <definedName name="dec_3">'3_Parameters'!$B$38</definedName>
    <definedName name="disc">'3_Parameters'!$B$7</definedName>
    <definedName name="ev_11">'4_Transitions'!$B$13</definedName>
    <definedName name="ev_12">'4_Transitions'!$C$13</definedName>
    <definedName name="ev_13">'4_Transitions'!$D$13</definedName>
    <definedName name="ev_14">'4_Transitions'!$E$13</definedName>
    <definedName name="ev_21">'4_Transitions'!$B$14</definedName>
    <definedName name="ev_22">'4_Transitions'!$C$14</definedName>
    <definedName name="ev_23">'4_Transitions'!$D$14</definedName>
    <definedName name="ev_24">'4_Transitions'!$E$14</definedName>
    <definedName name="ev_31">'4_Transitions'!$B$15</definedName>
    <definedName name="ev_32">'4_Transitions'!$C$15</definedName>
    <definedName name="ev_33">'4_Transitions'!$D$15</definedName>
    <definedName name="ev_34">'4_Transitions'!$E$15</definedName>
    <definedName name="ev_41">'4_Transitions'!$B$16</definedName>
    <definedName name="ev_42">'4_Transitions'!$C$16</definedName>
    <definedName name="ev_43">'4_Transitions'!$D$16</definedName>
    <definedName name="ev_44">'4_Transitions'!$E$16</definedName>
    <definedName name="horizon">'3_Parameters'!$B$5</definedName>
    <definedName name="ICER">'7_Results'!$G$7</definedName>
    <definedName name="LY_aza">'5_Markov_SC'!$J$38</definedName>
    <definedName name="LY_eve">'6_Markov_EVE'!$J$38</definedName>
    <definedName name="mean_gap">'3_Parameters'!$B$13</definedName>
    <definedName name="n_cohort">'3_Parameters'!$B$4</definedName>
    <definedName name="RR">'3_Parameters'!$B$20</definedName>
    <definedName name="share_male">'3_Parameters'!$B$12</definedName>
    <definedName name="TC_disc_ev">'6_Markov_EVE'!$R$38</definedName>
    <definedName name="TC_disc_sc">'5_Markov_SC'!$R$38</definedName>
    <definedName name="Thre_HIGH">'3_Parameters'!$B$10</definedName>
    <definedName name="Thre_LOW">'3_Parameters'!$B$8</definedName>
    <definedName name="Thre_MID">'3_Parameters'!$B$9</definedName>
    <definedName name="TQ_disc_ev">'6_Markov_EVE'!$X$38</definedName>
    <definedName name="TQ_disc_sc">'5_Markov_SC'!$X$38</definedName>
    <definedName name="u_1">'3_Parameters'!$B$33</definedName>
    <definedName name="u_2">'3_Parameters'!$B$34</definedName>
    <definedName name="u_3">'3_Parameters'!$B$35</definedName>
    <definedName name="u_4">'3_Parameters'!$B$36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9" l="1"/>
  <c r="I8" i="9"/>
  <c r="I6" i="9"/>
  <c r="I4" i="9"/>
  <c r="I5" i="9"/>
  <c r="I7" i="9"/>
  <c r="I11" i="9"/>
  <c r="I12" i="9"/>
  <c r="I10" i="9"/>
  <c r="K11" i="9"/>
  <c r="K10" i="9"/>
  <c r="K8" i="9"/>
  <c r="K9" i="9"/>
  <c r="K5" i="9"/>
  <c r="K7" i="9"/>
  <c r="K4" i="9"/>
  <c r="K6" i="9"/>
  <c r="K12" i="9"/>
  <c r="J10" i="9"/>
  <c r="J8" i="9"/>
  <c r="J9" i="9"/>
  <c r="J5" i="9"/>
  <c r="J7" i="9"/>
  <c r="J4" i="9"/>
  <c r="J6" i="9"/>
  <c r="J11" i="9"/>
  <c r="J12" i="9"/>
  <c r="B11" i="3"/>
  <c r="B20" i="3"/>
  <c r="B104" i="3"/>
  <c r="B99" i="3"/>
  <c r="B98" i="3"/>
  <c r="B35" i="3"/>
  <c r="B34" i="3"/>
  <c r="AA36" i="7"/>
  <c r="Z36" i="7"/>
  <c r="AA35" i="7"/>
  <c r="Z35" i="7"/>
  <c r="AA34" i="7"/>
  <c r="Z34" i="7"/>
  <c r="AA33" i="7"/>
  <c r="Z33" i="7"/>
  <c r="AA32" i="7"/>
  <c r="Z32" i="7"/>
  <c r="AA31" i="7"/>
  <c r="Z31" i="7"/>
  <c r="AA30" i="7"/>
  <c r="Z30" i="7"/>
  <c r="AA29" i="7"/>
  <c r="Z29" i="7"/>
  <c r="AA28" i="7"/>
  <c r="Z28" i="7"/>
  <c r="AA27" i="7"/>
  <c r="Z27" i="7"/>
  <c r="AA26" i="7"/>
  <c r="Z26" i="7"/>
  <c r="AA25" i="7"/>
  <c r="Z25" i="7"/>
  <c r="AA24" i="7"/>
  <c r="Z24" i="7"/>
  <c r="AA23" i="7"/>
  <c r="Z23" i="7"/>
  <c r="AA22" i="7"/>
  <c r="Z22" i="7"/>
  <c r="AA21" i="7"/>
  <c r="Z21" i="7"/>
  <c r="AA20" i="7"/>
  <c r="Z20" i="7"/>
  <c r="AA19" i="7"/>
  <c r="Z19" i="7"/>
  <c r="AA18" i="7"/>
  <c r="Z18" i="7"/>
  <c r="AA17" i="7"/>
  <c r="Z17" i="7"/>
  <c r="AA16" i="7"/>
  <c r="Z16" i="7"/>
  <c r="AA15" i="7"/>
  <c r="Z15" i="7"/>
  <c r="AA14" i="7"/>
  <c r="Z14" i="7"/>
  <c r="AA13" i="7"/>
  <c r="Z13" i="7"/>
  <c r="AA12" i="7"/>
  <c r="Z12" i="7"/>
  <c r="AA11" i="7"/>
  <c r="Z11" i="7"/>
  <c r="AA10" i="7"/>
  <c r="Z10" i="7"/>
  <c r="AA9" i="7"/>
  <c r="Z9" i="7"/>
  <c r="AA8" i="7"/>
  <c r="Z8" i="7"/>
  <c r="AA7" i="7"/>
  <c r="Z7" i="7"/>
  <c r="AA6" i="7"/>
  <c r="Z6" i="7"/>
  <c r="W6" i="7"/>
  <c r="O6" i="7"/>
  <c r="E6" i="7"/>
  <c r="B12" i="3"/>
  <c r="B103" i="3"/>
  <c r="B102" i="3"/>
  <c r="B101" i="3"/>
  <c r="B97" i="3"/>
  <c r="B92" i="3"/>
  <c r="B93" i="3"/>
  <c r="B89" i="3"/>
  <c r="D26" i="3"/>
  <c r="B107" i="3" s="1"/>
  <c r="B16" i="4"/>
  <c r="C16" i="4"/>
  <c r="D16" i="4"/>
  <c r="E7" i="4"/>
  <c r="B13" i="3"/>
  <c r="D4" i="4" s="1"/>
  <c r="Z36" i="6"/>
  <c r="AA36" i="6"/>
  <c r="Z11" i="6"/>
  <c r="Z10" i="6"/>
  <c r="Z9" i="6"/>
  <c r="Z8" i="6"/>
  <c r="Z7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6" i="6"/>
  <c r="W6" i="6"/>
  <c r="O6" i="6"/>
  <c r="E6" i="6"/>
  <c r="T6" i="6" s="1"/>
  <c r="B53" i="3"/>
  <c r="C53" i="3" s="1"/>
  <c r="I6" i="7" l="1"/>
  <c r="J6" i="7"/>
  <c r="Q6" i="7" s="1"/>
  <c r="E4" i="4"/>
  <c r="E13" i="4" s="1"/>
  <c r="D5" i="4"/>
  <c r="D14" i="4" s="1"/>
  <c r="T6" i="7"/>
  <c r="B5" i="4"/>
  <c r="E5" i="4"/>
  <c r="E14" i="4" s="1"/>
  <c r="B54" i="3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C6" i="4"/>
  <c r="C15" i="4" s="1"/>
  <c r="B6" i="4"/>
  <c r="B15" i="4" s="1"/>
  <c r="C4" i="4"/>
  <c r="E6" i="4"/>
  <c r="E15" i="4" s="1"/>
  <c r="J6" i="6"/>
  <c r="I6" i="6"/>
  <c r="E16" i="4"/>
  <c r="D53" i="3"/>
  <c r="E53" i="3" s="1"/>
  <c r="E46" i="3"/>
  <c r="D46" i="3"/>
  <c r="C46" i="3"/>
  <c r="L6" i="7" s="1"/>
  <c r="D27" i="3"/>
  <c r="B108" i="3" s="1"/>
  <c r="B95" i="3"/>
  <c r="F15" i="2"/>
  <c r="F16" i="2"/>
  <c r="F14" i="2"/>
  <c r="B14" i="4" l="1"/>
  <c r="C14" i="4" s="1"/>
  <c r="C5" i="4"/>
  <c r="D15" i="4"/>
  <c r="C13" i="4" a="1"/>
  <c r="Q6" i="6"/>
  <c r="N6" i="7"/>
  <c r="N6" i="6"/>
  <c r="L6" i="6"/>
  <c r="C83" i="3"/>
  <c r="D83" i="3"/>
  <c r="D6" i="4"/>
  <c r="B4" i="4"/>
  <c r="M6" i="7"/>
  <c r="P6" i="7" s="1"/>
  <c r="R6" i="7" s="1"/>
  <c r="M6" i="6"/>
  <c r="B34" i="7"/>
  <c r="B26" i="7"/>
  <c r="B18" i="7"/>
  <c r="B10" i="7"/>
  <c r="B36" i="6"/>
  <c r="B8" i="6"/>
  <c r="B16" i="6"/>
  <c r="B24" i="6"/>
  <c r="B32" i="6"/>
  <c r="B31" i="7"/>
  <c r="B23" i="7"/>
  <c r="B15" i="7"/>
  <c r="B7" i="7"/>
  <c r="B90" i="3"/>
  <c r="B9" i="6"/>
  <c r="B17" i="6"/>
  <c r="B36" i="7"/>
  <c r="B28" i="7"/>
  <c r="B20" i="7"/>
  <c r="B12" i="7"/>
  <c r="B10" i="6"/>
  <c r="B18" i="6"/>
  <c r="B26" i="6"/>
  <c r="B34" i="6"/>
  <c r="B32" i="7"/>
  <c r="B24" i="7"/>
  <c r="B8" i="7"/>
  <c r="B33" i="7"/>
  <c r="B25" i="7"/>
  <c r="B17" i="7"/>
  <c r="B9" i="7"/>
  <c r="B11" i="6"/>
  <c r="B19" i="6"/>
  <c r="B27" i="6"/>
  <c r="B35" i="6"/>
  <c r="B14" i="6"/>
  <c r="B22" i="6"/>
  <c r="B21" i="7"/>
  <c r="B15" i="6"/>
  <c r="B31" i="6"/>
  <c r="B33" i="6"/>
  <c r="B30" i="7"/>
  <c r="B22" i="7"/>
  <c r="B14" i="7"/>
  <c r="B12" i="6"/>
  <c r="B20" i="6"/>
  <c r="B28" i="6"/>
  <c r="B16" i="7"/>
  <c r="B6" i="7"/>
  <c r="C6" i="7" s="1"/>
  <c r="D6" i="7" s="1"/>
  <c r="B30" i="6"/>
  <c r="B29" i="7"/>
  <c r="B13" i="7"/>
  <c r="B7" i="6"/>
  <c r="B25" i="6"/>
  <c r="B35" i="7"/>
  <c r="B27" i="7"/>
  <c r="B19" i="7"/>
  <c r="B11" i="7"/>
  <c r="B6" i="6"/>
  <c r="C6" i="6" s="1"/>
  <c r="D6" i="6" s="1"/>
  <c r="B13" i="6"/>
  <c r="B21" i="6"/>
  <c r="B29" i="6"/>
  <c r="B23" i="6"/>
  <c r="U6" i="6"/>
  <c r="U6" i="7"/>
  <c r="V6" i="6"/>
  <c r="V6" i="7"/>
  <c r="D13" i="4"/>
  <c r="D54" i="3"/>
  <c r="C54" i="3"/>
  <c r="P6" i="6" l="1"/>
  <c r="R6" i="6" s="1"/>
  <c r="B13" i="4"/>
  <c r="E7" i="7" s="1" a="1"/>
  <c r="E83" i="3"/>
  <c r="C36" i="6"/>
  <c r="D36" i="6" s="1"/>
  <c r="E7" i="6" a="1"/>
  <c r="M7" i="6" s="1"/>
  <c r="X6" i="7"/>
  <c r="C36" i="7"/>
  <c r="D36" i="7" s="1"/>
  <c r="X6" i="6"/>
  <c r="E54" i="3"/>
  <c r="D55" i="3"/>
  <c r="C55" i="3"/>
  <c r="E8" i="7" l="1" a="1"/>
  <c r="U7" i="7"/>
  <c r="M7" i="7"/>
  <c r="N7" i="7"/>
  <c r="W7" i="7"/>
  <c r="T7" i="7"/>
  <c r="J7" i="7"/>
  <c r="Q7" i="7" s="1"/>
  <c r="V7" i="7"/>
  <c r="I7" i="7"/>
  <c r="L7" i="7"/>
  <c r="O7" i="7"/>
  <c r="N7" i="6"/>
  <c r="W7" i="6"/>
  <c r="O7" i="6"/>
  <c r="U7" i="6"/>
  <c r="V7" i="6"/>
  <c r="E8" i="6" s="1" a="1"/>
  <c r="V8" i="6" s="1"/>
  <c r="J7" i="6"/>
  <c r="Q7" i="6" s="1"/>
  <c r="T7" i="6"/>
  <c r="C7" i="6"/>
  <c r="D7" i="6" s="1"/>
  <c r="C7" i="7"/>
  <c r="D7" i="7" s="1"/>
  <c r="E55" i="3"/>
  <c r="D56" i="3"/>
  <c r="C56" i="3"/>
  <c r="E56" i="3" s="1"/>
  <c r="X7" i="7" l="1"/>
  <c r="X7" i="6"/>
  <c r="M8" i="7"/>
  <c r="U8" i="7"/>
  <c r="O8" i="7"/>
  <c r="W8" i="7"/>
  <c r="N8" i="7"/>
  <c r="P7" i="7"/>
  <c r="R7" i="7" s="1"/>
  <c r="E9" i="7" a="1"/>
  <c r="E10" i="7" s="1" a="1"/>
  <c r="E11" i="7" s="1" a="1"/>
  <c r="E12" i="7" s="1" a="1"/>
  <c r="E13" i="7" s="1" a="1"/>
  <c r="E14" i="7" s="1" a="1"/>
  <c r="E15" i="7" s="1" a="1"/>
  <c r="E16" i="7" s="1" a="1"/>
  <c r="E17" i="7" s="1" a="1"/>
  <c r="E18" i="7" s="1" a="1"/>
  <c r="E19" i="7" s="1" a="1"/>
  <c r="E20" i="7" s="1" a="1"/>
  <c r="E21" i="7" s="1" a="1"/>
  <c r="E22" i="7" s="1" a="1"/>
  <c r="E23" i="7" s="1" a="1"/>
  <c r="E24" i="7" s="1" a="1"/>
  <c r="E25" i="7" s="1" a="1"/>
  <c r="E26" i="7" s="1" a="1"/>
  <c r="E27" i="7" s="1" a="1"/>
  <c r="E28" i="7" s="1" a="1"/>
  <c r="E29" i="7" s="1" a="1"/>
  <c r="E30" i="7" s="1" a="1"/>
  <c r="E31" i="7" s="1" a="1"/>
  <c r="E32" i="7" s="1" a="1"/>
  <c r="E33" i="7" s="1" a="1"/>
  <c r="E34" i="7" s="1" a="1"/>
  <c r="E35" i="7" s="1" a="1"/>
  <c r="E36" i="7" s="1" a="1"/>
  <c r="V8" i="7"/>
  <c r="U8" i="6"/>
  <c r="O8" i="6"/>
  <c r="N8" i="6"/>
  <c r="W8" i="6"/>
  <c r="L7" i="6"/>
  <c r="P7" i="6" s="1"/>
  <c r="R7" i="6" s="1"/>
  <c r="M8" i="6"/>
  <c r="I7" i="6"/>
  <c r="T8" i="7"/>
  <c r="J8" i="7"/>
  <c r="Q8" i="7" s="1"/>
  <c r="I8" i="7"/>
  <c r="L8" i="7"/>
  <c r="C8" i="6"/>
  <c r="D8" i="6" s="1"/>
  <c r="C8" i="7"/>
  <c r="D8" i="7" s="1"/>
  <c r="C9" i="6"/>
  <c r="D9" i="6" s="1"/>
  <c r="C9" i="7"/>
  <c r="D9" i="7" s="1"/>
  <c r="L8" i="6"/>
  <c r="T8" i="6"/>
  <c r="E9" i="6" a="1"/>
  <c r="J8" i="6"/>
  <c r="I8" i="6"/>
  <c r="C57" i="3"/>
  <c r="D57" i="3"/>
  <c r="Q8" i="6" l="1"/>
  <c r="W9" i="7"/>
  <c r="N9" i="7"/>
  <c r="V9" i="7"/>
  <c r="M9" i="7"/>
  <c r="U9" i="7"/>
  <c r="O9" i="7"/>
  <c r="X8" i="7"/>
  <c r="P8" i="7"/>
  <c r="N9" i="6"/>
  <c r="O9" i="6"/>
  <c r="U9" i="6"/>
  <c r="M9" i="6"/>
  <c r="V9" i="6"/>
  <c r="W9" i="6"/>
  <c r="P8" i="6"/>
  <c r="X8" i="6"/>
  <c r="E57" i="3"/>
  <c r="D58" i="3"/>
  <c r="C58" i="3"/>
  <c r="R8" i="7" l="1"/>
  <c r="C10" i="6"/>
  <c r="D10" i="6" s="1"/>
  <c r="C10" i="7"/>
  <c r="D10" i="7" s="1"/>
  <c r="L9" i="7"/>
  <c r="T9" i="7"/>
  <c r="J9" i="7"/>
  <c r="Q9" i="7" s="1"/>
  <c r="I9" i="7"/>
  <c r="R8" i="6"/>
  <c r="T9" i="6"/>
  <c r="L9" i="6"/>
  <c r="J9" i="6"/>
  <c r="E10" i="6" a="1"/>
  <c r="I9" i="6"/>
  <c r="E58" i="3"/>
  <c r="C59" i="3"/>
  <c r="D59" i="3"/>
  <c r="X9" i="7" l="1"/>
  <c r="Q9" i="6"/>
  <c r="P9" i="7"/>
  <c r="O10" i="7"/>
  <c r="W10" i="7"/>
  <c r="N10" i="7"/>
  <c r="V10" i="7"/>
  <c r="M10" i="7"/>
  <c r="U10" i="7"/>
  <c r="C11" i="6"/>
  <c r="D11" i="6" s="1"/>
  <c r="C11" i="7"/>
  <c r="D11" i="7" s="1"/>
  <c r="M10" i="6"/>
  <c r="U10" i="6"/>
  <c r="V10" i="6"/>
  <c r="W10" i="6"/>
  <c r="N10" i="6"/>
  <c r="O10" i="6"/>
  <c r="P9" i="6"/>
  <c r="X9" i="6"/>
  <c r="C60" i="3"/>
  <c r="D60" i="3"/>
  <c r="E59" i="3"/>
  <c r="R9" i="7" l="1"/>
  <c r="C12" i="6"/>
  <c r="D12" i="6" s="1"/>
  <c r="C12" i="7"/>
  <c r="D12" i="7" s="1"/>
  <c r="T10" i="7"/>
  <c r="X10" i="7" s="1"/>
  <c r="J10" i="7"/>
  <c r="Q10" i="7" s="1"/>
  <c r="L10" i="7"/>
  <c r="P10" i="7" s="1"/>
  <c r="I10" i="7"/>
  <c r="R9" i="6"/>
  <c r="T10" i="6"/>
  <c r="X10" i="6" s="1"/>
  <c r="L10" i="6"/>
  <c r="J10" i="6"/>
  <c r="Q10" i="6" s="1"/>
  <c r="I10" i="6"/>
  <c r="E11" i="6" a="1"/>
  <c r="D61" i="3"/>
  <c r="C61" i="3"/>
  <c r="E60" i="3"/>
  <c r="R10" i="7" l="1"/>
  <c r="U11" i="7"/>
  <c r="W11" i="7"/>
  <c r="N11" i="7"/>
  <c r="V11" i="7"/>
  <c r="O11" i="7"/>
  <c r="M11" i="7"/>
  <c r="C13" i="6"/>
  <c r="D13" i="6" s="1"/>
  <c r="C13" i="7"/>
  <c r="D13" i="7" s="1"/>
  <c r="M11" i="6"/>
  <c r="N11" i="6"/>
  <c r="O11" i="6"/>
  <c r="W11" i="6"/>
  <c r="U11" i="6"/>
  <c r="V11" i="6"/>
  <c r="P10" i="6"/>
  <c r="E61" i="3"/>
  <c r="D62" i="3"/>
  <c r="C62" i="3"/>
  <c r="C14" i="6" l="1"/>
  <c r="D14" i="6" s="1"/>
  <c r="C14" i="7"/>
  <c r="D14" i="7" s="1"/>
  <c r="L11" i="7"/>
  <c r="P11" i="7" s="1"/>
  <c r="T11" i="7"/>
  <c r="X11" i="7" s="1"/>
  <c r="J11" i="7"/>
  <c r="Q11" i="7" s="1"/>
  <c r="I11" i="7"/>
  <c r="R10" i="6"/>
  <c r="L11" i="6"/>
  <c r="P11" i="6" s="1"/>
  <c r="T11" i="6"/>
  <c r="X11" i="6" s="1"/>
  <c r="I11" i="6"/>
  <c r="E12" i="6" a="1"/>
  <c r="J11" i="6"/>
  <c r="Q11" i="6" s="1"/>
  <c r="E62" i="3"/>
  <c r="D63" i="3"/>
  <c r="C63" i="3"/>
  <c r="E63" i="3" s="1"/>
  <c r="O12" i="7" l="1"/>
  <c r="W12" i="7"/>
  <c r="N12" i="7"/>
  <c r="V12" i="7"/>
  <c r="M12" i="7"/>
  <c r="U12" i="7"/>
  <c r="R11" i="7"/>
  <c r="C16" i="6"/>
  <c r="D16" i="6" s="1"/>
  <c r="C16" i="7"/>
  <c r="D16" i="7" s="1"/>
  <c r="C15" i="6"/>
  <c r="D15" i="6" s="1"/>
  <c r="C15" i="7"/>
  <c r="D15" i="7" s="1"/>
  <c r="O12" i="6"/>
  <c r="N12" i="6"/>
  <c r="U12" i="6"/>
  <c r="V12" i="6"/>
  <c r="W12" i="6"/>
  <c r="M12" i="6"/>
  <c r="R11" i="6"/>
  <c r="C64" i="3"/>
  <c r="D64" i="3"/>
  <c r="L12" i="7" l="1"/>
  <c r="P12" i="7" s="1"/>
  <c r="T12" i="7"/>
  <c r="X12" i="7" s="1"/>
  <c r="J12" i="7"/>
  <c r="Q12" i="7" s="1"/>
  <c r="I12" i="7"/>
  <c r="T12" i="6"/>
  <c r="X12" i="6" s="1"/>
  <c r="L12" i="6"/>
  <c r="P12" i="6" s="1"/>
  <c r="J12" i="6"/>
  <c r="Q12" i="6" s="1"/>
  <c r="E13" i="6" a="1"/>
  <c r="I12" i="6"/>
  <c r="E64" i="3"/>
  <c r="D65" i="3"/>
  <c r="C65" i="3"/>
  <c r="C17" i="6" l="1"/>
  <c r="D17" i="6" s="1"/>
  <c r="C17" i="7"/>
  <c r="D17" i="7" s="1"/>
  <c r="R12" i="7"/>
  <c r="O13" i="7"/>
  <c r="W13" i="7"/>
  <c r="N13" i="7"/>
  <c r="U13" i="7"/>
  <c r="M13" i="7"/>
  <c r="V13" i="7"/>
  <c r="R12" i="6"/>
  <c r="M13" i="6"/>
  <c r="W13" i="6"/>
  <c r="U13" i="6"/>
  <c r="N13" i="6"/>
  <c r="V13" i="6"/>
  <c r="O13" i="6"/>
  <c r="E65" i="3"/>
  <c r="D66" i="3"/>
  <c r="C66" i="3"/>
  <c r="E66" i="3" l="1"/>
  <c r="C18" i="6"/>
  <c r="D18" i="6" s="1"/>
  <c r="C18" i="7"/>
  <c r="D18" i="7" s="1"/>
  <c r="C19" i="6"/>
  <c r="D19" i="6" s="1"/>
  <c r="C19" i="7"/>
  <c r="D19" i="7" s="1"/>
  <c r="I13" i="7"/>
  <c r="L13" i="7"/>
  <c r="P13" i="7" s="1"/>
  <c r="J13" i="7"/>
  <c r="Q13" i="7" s="1"/>
  <c r="T13" i="7"/>
  <c r="X13" i="7" s="1"/>
  <c r="T13" i="6"/>
  <c r="X13" i="6" s="1"/>
  <c r="L13" i="6"/>
  <c r="P13" i="6" s="1"/>
  <c r="J13" i="6"/>
  <c r="Q13" i="6" s="1"/>
  <c r="I13" i="6"/>
  <c r="E14" i="6" a="1"/>
  <c r="C67" i="3"/>
  <c r="D67" i="3"/>
  <c r="V14" i="7" l="1"/>
  <c r="M14" i="7"/>
  <c r="U14" i="7"/>
  <c r="O14" i="7"/>
  <c r="W14" i="7"/>
  <c r="N14" i="7"/>
  <c r="R13" i="7"/>
  <c r="R13" i="6"/>
  <c r="U14" i="6"/>
  <c r="V14" i="6"/>
  <c r="M14" i="6"/>
  <c r="W14" i="6"/>
  <c r="N14" i="6"/>
  <c r="O14" i="6"/>
  <c r="E67" i="3"/>
  <c r="C68" i="3"/>
  <c r="D68" i="3"/>
  <c r="L14" i="7" l="1"/>
  <c r="P14" i="7" s="1"/>
  <c r="T14" i="7"/>
  <c r="X14" i="7" s="1"/>
  <c r="J14" i="7"/>
  <c r="Q14" i="7" s="1"/>
  <c r="I14" i="7"/>
  <c r="C20" i="6"/>
  <c r="D20" i="6" s="1"/>
  <c r="C20" i="7"/>
  <c r="D20" i="7" s="1"/>
  <c r="T14" i="6"/>
  <c r="X14" i="6" s="1"/>
  <c r="L14" i="6"/>
  <c r="P14" i="6" s="1"/>
  <c r="J14" i="6"/>
  <c r="Q14" i="6" s="1"/>
  <c r="I14" i="6"/>
  <c r="E15" i="6" a="1"/>
  <c r="E68" i="3"/>
  <c r="D69" i="3"/>
  <c r="C69" i="3"/>
  <c r="R14" i="7" l="1"/>
  <c r="C21" i="6"/>
  <c r="D21" i="6" s="1"/>
  <c r="C21" i="7"/>
  <c r="D21" i="7" s="1"/>
  <c r="O15" i="7"/>
  <c r="W15" i="7"/>
  <c r="N15" i="7"/>
  <c r="V15" i="7"/>
  <c r="M15" i="7"/>
  <c r="U15" i="7"/>
  <c r="R14" i="6"/>
  <c r="M15" i="6"/>
  <c r="N15" i="6"/>
  <c r="W15" i="6"/>
  <c r="O15" i="6"/>
  <c r="U15" i="6"/>
  <c r="V15" i="6"/>
  <c r="E69" i="3"/>
  <c r="D70" i="3"/>
  <c r="C70" i="3"/>
  <c r="C22" i="6" l="1"/>
  <c r="D22" i="6" s="1"/>
  <c r="C22" i="7"/>
  <c r="D22" i="7" s="1"/>
  <c r="L15" i="7"/>
  <c r="P15" i="7" s="1"/>
  <c r="I15" i="7"/>
  <c r="J15" i="7"/>
  <c r="Q15" i="7" s="1"/>
  <c r="T15" i="7"/>
  <c r="X15" i="7" s="1"/>
  <c r="L15" i="6"/>
  <c r="P15" i="6" s="1"/>
  <c r="T15" i="6"/>
  <c r="X15" i="6" s="1"/>
  <c r="E16" i="6" a="1"/>
  <c r="J15" i="6"/>
  <c r="Q15" i="6" s="1"/>
  <c r="I15" i="6"/>
  <c r="E70" i="3"/>
  <c r="D71" i="3"/>
  <c r="C71" i="3"/>
  <c r="R15" i="7" l="1"/>
  <c r="C23" i="6"/>
  <c r="D23" i="6" s="1"/>
  <c r="C23" i="7"/>
  <c r="D23" i="7" s="1"/>
  <c r="O16" i="7"/>
  <c r="V16" i="7"/>
  <c r="M16" i="7"/>
  <c r="U16" i="7"/>
  <c r="N16" i="7"/>
  <c r="W16" i="7"/>
  <c r="R15" i="6"/>
  <c r="O16" i="6"/>
  <c r="W16" i="6"/>
  <c r="U16" i="6"/>
  <c r="V16" i="6"/>
  <c r="N16" i="6"/>
  <c r="M16" i="6"/>
  <c r="E71" i="3"/>
  <c r="C72" i="3"/>
  <c r="D72" i="3"/>
  <c r="T16" i="7" l="1"/>
  <c r="X16" i="7" s="1"/>
  <c r="J16" i="7"/>
  <c r="Q16" i="7" s="1"/>
  <c r="I16" i="7"/>
  <c r="L16" i="7"/>
  <c r="P16" i="7" s="1"/>
  <c r="C24" i="6"/>
  <c r="D24" i="6" s="1"/>
  <c r="C24" i="7"/>
  <c r="D24" i="7" s="1"/>
  <c r="T16" i="6"/>
  <c r="X16" i="6" s="1"/>
  <c r="L16" i="6"/>
  <c r="P16" i="6" s="1"/>
  <c r="J16" i="6"/>
  <c r="Q16" i="6" s="1"/>
  <c r="I16" i="6"/>
  <c r="E17" i="6" a="1"/>
  <c r="E72" i="3"/>
  <c r="D73" i="3"/>
  <c r="C73" i="3"/>
  <c r="E73" i="3" s="1"/>
  <c r="R16" i="7" l="1"/>
  <c r="W17" i="7"/>
  <c r="N17" i="7"/>
  <c r="V17" i="7"/>
  <c r="M17" i="7"/>
  <c r="U17" i="7"/>
  <c r="O17" i="7"/>
  <c r="C26" i="6"/>
  <c r="D26" i="6" s="1"/>
  <c r="C26" i="7"/>
  <c r="D26" i="7" s="1"/>
  <c r="C25" i="6"/>
  <c r="D25" i="6" s="1"/>
  <c r="C25" i="7"/>
  <c r="D25" i="7" s="1"/>
  <c r="R16" i="6"/>
  <c r="W17" i="6"/>
  <c r="N17" i="6"/>
  <c r="M17" i="6"/>
  <c r="V17" i="6"/>
  <c r="O17" i="6"/>
  <c r="U17" i="6"/>
  <c r="C74" i="3"/>
  <c r="D74" i="3"/>
  <c r="L17" i="7" l="1"/>
  <c r="P17" i="7" s="1"/>
  <c r="T17" i="7"/>
  <c r="X17" i="7" s="1"/>
  <c r="J17" i="7"/>
  <c r="Q17" i="7" s="1"/>
  <c r="I17" i="7"/>
  <c r="L17" i="6"/>
  <c r="P17" i="6" s="1"/>
  <c r="T17" i="6"/>
  <c r="X17" i="6" s="1"/>
  <c r="J17" i="6"/>
  <c r="Q17" i="6" s="1"/>
  <c r="E18" i="6" a="1"/>
  <c r="I17" i="6"/>
  <c r="E74" i="3"/>
  <c r="C75" i="3"/>
  <c r="D75" i="3"/>
  <c r="R17" i="7" l="1"/>
  <c r="C27" i="6"/>
  <c r="D27" i="6" s="1"/>
  <c r="C27" i="7"/>
  <c r="D27" i="7" s="1"/>
  <c r="O18" i="7"/>
  <c r="W18" i="7"/>
  <c r="N18" i="7"/>
  <c r="V18" i="7"/>
  <c r="M18" i="7"/>
  <c r="U18" i="7"/>
  <c r="M18" i="6"/>
  <c r="N18" i="6"/>
  <c r="O18" i="6"/>
  <c r="V18" i="6"/>
  <c r="U18" i="6"/>
  <c r="W18" i="6"/>
  <c r="R17" i="6"/>
  <c r="E75" i="3"/>
  <c r="C76" i="3"/>
  <c r="D76" i="3"/>
  <c r="C28" i="6" l="1"/>
  <c r="D28" i="6" s="1"/>
  <c r="C28" i="7"/>
  <c r="D28" i="7" s="1"/>
  <c r="T18" i="7"/>
  <c r="X18" i="7" s="1"/>
  <c r="J18" i="7"/>
  <c r="Q18" i="7" s="1"/>
  <c r="I18" i="7"/>
  <c r="L18" i="7"/>
  <c r="P18" i="7" s="1"/>
  <c r="L18" i="6"/>
  <c r="P18" i="6" s="1"/>
  <c r="T18" i="6"/>
  <c r="X18" i="6" s="1"/>
  <c r="I18" i="6"/>
  <c r="E19" i="6" a="1"/>
  <c r="J18" i="6"/>
  <c r="Q18" i="6" s="1"/>
  <c r="E76" i="3"/>
  <c r="D77" i="3"/>
  <c r="C77" i="3"/>
  <c r="R18" i="7" l="1"/>
  <c r="U19" i="7"/>
  <c r="W19" i="7"/>
  <c r="N19" i="7"/>
  <c r="M19" i="7"/>
  <c r="V19" i="7"/>
  <c r="O19" i="7"/>
  <c r="C29" i="6"/>
  <c r="D29" i="6" s="1"/>
  <c r="C29" i="7"/>
  <c r="D29" i="7" s="1"/>
  <c r="V19" i="6"/>
  <c r="W19" i="6"/>
  <c r="U19" i="6"/>
  <c r="O19" i="6"/>
  <c r="M19" i="6"/>
  <c r="N19" i="6"/>
  <c r="R18" i="6"/>
  <c r="E77" i="3"/>
  <c r="D78" i="3"/>
  <c r="C78" i="3"/>
  <c r="E78" i="3" s="1"/>
  <c r="C31" i="6" l="1"/>
  <c r="D31" i="6" s="1"/>
  <c r="C31" i="7"/>
  <c r="D31" i="7" s="1"/>
  <c r="C30" i="6"/>
  <c r="D30" i="6" s="1"/>
  <c r="C30" i="7"/>
  <c r="D30" i="7" s="1"/>
  <c r="L19" i="7"/>
  <c r="P19" i="7" s="1"/>
  <c r="T19" i="7"/>
  <c r="X19" i="7" s="1"/>
  <c r="J19" i="7"/>
  <c r="Q19" i="7" s="1"/>
  <c r="I19" i="7"/>
  <c r="L19" i="6"/>
  <c r="P19" i="6" s="1"/>
  <c r="T19" i="6"/>
  <c r="X19" i="6" s="1"/>
  <c r="I19" i="6"/>
  <c r="J19" i="6"/>
  <c r="Q19" i="6" s="1"/>
  <c r="E20" i="6" a="1"/>
  <c r="D79" i="3"/>
  <c r="C79" i="3"/>
  <c r="R19" i="7" l="1"/>
  <c r="O20" i="7"/>
  <c r="W20" i="7"/>
  <c r="N20" i="7"/>
  <c r="V20" i="7"/>
  <c r="M20" i="7"/>
  <c r="U20" i="7"/>
  <c r="O20" i="6"/>
  <c r="M20" i="6"/>
  <c r="V20" i="6"/>
  <c r="U20" i="6"/>
  <c r="N20" i="6"/>
  <c r="W20" i="6"/>
  <c r="R19" i="6"/>
  <c r="E79" i="3"/>
  <c r="C80" i="3"/>
  <c r="D80" i="3"/>
  <c r="L20" i="7" l="1"/>
  <c r="P20" i="7" s="1"/>
  <c r="T20" i="7"/>
  <c r="X20" i="7" s="1"/>
  <c r="J20" i="7"/>
  <c r="Q20" i="7" s="1"/>
  <c r="I20" i="7"/>
  <c r="C32" i="6"/>
  <c r="D32" i="6" s="1"/>
  <c r="C32" i="7"/>
  <c r="D32" i="7" s="1"/>
  <c r="L20" i="6"/>
  <c r="P20" i="6" s="1"/>
  <c r="T20" i="6"/>
  <c r="X20" i="6" s="1"/>
  <c r="J20" i="6"/>
  <c r="Q20" i="6" s="1"/>
  <c r="E21" i="6" a="1"/>
  <c r="I20" i="6"/>
  <c r="D81" i="3"/>
  <c r="C81" i="3"/>
  <c r="E80" i="3"/>
  <c r="C33" i="6" l="1"/>
  <c r="D33" i="6" s="1"/>
  <c r="C33" i="7"/>
  <c r="D33" i="7" s="1"/>
  <c r="R20" i="7"/>
  <c r="O21" i="7"/>
  <c r="W21" i="7"/>
  <c r="N21" i="7"/>
  <c r="U21" i="7"/>
  <c r="M21" i="7"/>
  <c r="V21" i="7"/>
  <c r="V21" i="6"/>
  <c r="M21" i="6"/>
  <c r="W21" i="6"/>
  <c r="N21" i="6"/>
  <c r="O21" i="6"/>
  <c r="U21" i="6"/>
  <c r="R20" i="6"/>
  <c r="E81" i="3"/>
  <c r="D82" i="3"/>
  <c r="C82" i="3"/>
  <c r="I21" i="7" l="1"/>
  <c r="L21" i="7"/>
  <c r="P21" i="7" s="1"/>
  <c r="T21" i="7"/>
  <c r="X21" i="7" s="1"/>
  <c r="J21" i="7"/>
  <c r="Q21" i="7" s="1"/>
  <c r="C34" i="6"/>
  <c r="D34" i="6" s="1"/>
  <c r="C34" i="7"/>
  <c r="D34" i="7" s="1"/>
  <c r="L21" i="6"/>
  <c r="P21" i="6" s="1"/>
  <c r="T21" i="6"/>
  <c r="X21" i="6" s="1"/>
  <c r="J21" i="6"/>
  <c r="Q21" i="6" s="1"/>
  <c r="I21" i="6"/>
  <c r="E22" i="6" a="1"/>
  <c r="E82" i="3"/>
  <c r="C35" i="6" l="1"/>
  <c r="D35" i="6" s="1"/>
  <c r="C35" i="7"/>
  <c r="D35" i="7" s="1"/>
  <c r="V22" i="7"/>
  <c r="M22" i="7"/>
  <c r="U22" i="7"/>
  <c r="O22" i="7"/>
  <c r="N22" i="7"/>
  <c r="W22" i="7"/>
  <c r="R21" i="7"/>
  <c r="O22" i="6"/>
  <c r="V22" i="6"/>
  <c r="N22" i="6"/>
  <c r="U22" i="6"/>
  <c r="W22" i="6"/>
  <c r="M22" i="6"/>
  <c r="R21" i="6"/>
  <c r="L22" i="7" l="1"/>
  <c r="P22" i="7" s="1"/>
  <c r="T22" i="7"/>
  <c r="X22" i="7" s="1"/>
  <c r="J22" i="7"/>
  <c r="Q22" i="7" s="1"/>
  <c r="I22" i="7"/>
  <c r="T22" i="6"/>
  <c r="X22" i="6" s="1"/>
  <c r="L22" i="6"/>
  <c r="P22" i="6" s="1"/>
  <c r="I22" i="6"/>
  <c r="E23" i="6" a="1"/>
  <c r="J22" i="6"/>
  <c r="Q22" i="6" s="1"/>
  <c r="R22" i="7" l="1"/>
  <c r="O23" i="7"/>
  <c r="W23" i="7"/>
  <c r="N23" i="7"/>
  <c r="V23" i="7"/>
  <c r="M23" i="7"/>
  <c r="U23" i="7"/>
  <c r="R22" i="6"/>
  <c r="V23" i="6"/>
  <c r="U23" i="6"/>
  <c r="W23" i="6"/>
  <c r="N23" i="6"/>
  <c r="M23" i="6"/>
  <c r="O23" i="6"/>
  <c r="L23" i="7" l="1"/>
  <c r="P23" i="7" s="1"/>
  <c r="I23" i="7"/>
  <c r="T23" i="7"/>
  <c r="X23" i="7" s="1"/>
  <c r="J23" i="7"/>
  <c r="Q23" i="7" s="1"/>
  <c r="L23" i="6"/>
  <c r="P23" i="6" s="1"/>
  <c r="T23" i="6"/>
  <c r="X23" i="6" s="1"/>
  <c r="E24" i="6" a="1"/>
  <c r="J23" i="6"/>
  <c r="Q23" i="6" s="1"/>
  <c r="I23" i="6"/>
  <c r="R23" i="7" l="1"/>
  <c r="O24" i="7"/>
  <c r="V24" i="7"/>
  <c r="M24" i="7"/>
  <c r="W24" i="7"/>
  <c r="U24" i="7"/>
  <c r="N24" i="7"/>
  <c r="R23" i="6"/>
  <c r="M24" i="6"/>
  <c r="N24" i="6"/>
  <c r="O24" i="6"/>
  <c r="U24" i="6"/>
  <c r="V24" i="6"/>
  <c r="W24" i="6"/>
  <c r="T24" i="7" l="1"/>
  <c r="X24" i="7" s="1"/>
  <c r="J24" i="7"/>
  <c r="Q24" i="7" s="1"/>
  <c r="I24" i="7"/>
  <c r="L24" i="7"/>
  <c r="P24" i="7" s="1"/>
  <c r="L24" i="6"/>
  <c r="P24" i="6" s="1"/>
  <c r="T24" i="6"/>
  <c r="X24" i="6" s="1"/>
  <c r="J24" i="6"/>
  <c r="Q24" i="6" s="1"/>
  <c r="I24" i="6"/>
  <c r="E25" i="6" a="1"/>
  <c r="R24" i="7" l="1"/>
  <c r="W25" i="7"/>
  <c r="N25" i="7"/>
  <c r="V25" i="7"/>
  <c r="M25" i="7"/>
  <c r="U25" i="7"/>
  <c r="O25" i="7"/>
  <c r="U25" i="6"/>
  <c r="V25" i="6"/>
  <c r="W25" i="6"/>
  <c r="O25" i="6"/>
  <c r="M25" i="6"/>
  <c r="N25" i="6"/>
  <c r="R24" i="6"/>
  <c r="L25" i="7" l="1"/>
  <c r="P25" i="7" s="1"/>
  <c r="T25" i="7"/>
  <c r="X25" i="7" s="1"/>
  <c r="J25" i="7"/>
  <c r="Q25" i="7" s="1"/>
  <c r="I25" i="7"/>
  <c r="L25" i="6"/>
  <c r="P25" i="6" s="1"/>
  <c r="T25" i="6"/>
  <c r="X25" i="6" s="1"/>
  <c r="J25" i="6"/>
  <c r="Q25" i="6" s="1"/>
  <c r="E26" i="6" a="1"/>
  <c r="I25" i="6"/>
  <c r="R25" i="7" l="1"/>
  <c r="O26" i="7"/>
  <c r="W26" i="7"/>
  <c r="N26" i="7"/>
  <c r="V26" i="7"/>
  <c r="M26" i="7"/>
  <c r="U26" i="7"/>
  <c r="M26" i="6"/>
  <c r="W26" i="6"/>
  <c r="O26" i="6"/>
  <c r="N26" i="6"/>
  <c r="U26" i="6"/>
  <c r="V26" i="6"/>
  <c r="R25" i="6"/>
  <c r="T26" i="7" l="1"/>
  <c r="X26" i="7" s="1"/>
  <c r="J26" i="7"/>
  <c r="Q26" i="7" s="1"/>
  <c r="L26" i="7"/>
  <c r="P26" i="7" s="1"/>
  <c r="I26" i="7"/>
  <c r="L26" i="6"/>
  <c r="P26" i="6" s="1"/>
  <c r="T26" i="6"/>
  <c r="X26" i="6" s="1"/>
  <c r="I26" i="6"/>
  <c r="E27" i="6" a="1"/>
  <c r="J26" i="6"/>
  <c r="Q26" i="6" s="1"/>
  <c r="R26" i="7" l="1"/>
  <c r="U27" i="7"/>
  <c r="W27" i="7"/>
  <c r="N27" i="7"/>
  <c r="V27" i="7"/>
  <c r="O27" i="7"/>
  <c r="M27" i="7"/>
  <c r="R26" i="6"/>
  <c r="O27" i="6"/>
  <c r="U27" i="6"/>
  <c r="V27" i="6"/>
  <c r="W27" i="6"/>
  <c r="N27" i="6"/>
  <c r="M27" i="6"/>
  <c r="L27" i="7" l="1"/>
  <c r="P27" i="7" s="1"/>
  <c r="T27" i="7"/>
  <c r="X27" i="7" s="1"/>
  <c r="J27" i="7"/>
  <c r="Q27" i="7" s="1"/>
  <c r="I27" i="7"/>
  <c r="T27" i="6"/>
  <c r="X27" i="6" s="1"/>
  <c r="L27" i="6"/>
  <c r="P27" i="6" s="1"/>
  <c r="J27" i="6"/>
  <c r="Q27" i="6" s="1"/>
  <c r="I27" i="6"/>
  <c r="E28" i="6" a="1"/>
  <c r="O28" i="7" l="1"/>
  <c r="W28" i="7"/>
  <c r="N28" i="7"/>
  <c r="V28" i="7"/>
  <c r="M28" i="7"/>
  <c r="U28" i="7"/>
  <c r="R27" i="7"/>
  <c r="N28" i="6"/>
  <c r="M28" i="6"/>
  <c r="W28" i="6"/>
  <c r="U28" i="6"/>
  <c r="O28" i="6"/>
  <c r="V28" i="6"/>
  <c r="R27" i="6"/>
  <c r="L28" i="7" l="1"/>
  <c r="P28" i="7" s="1"/>
  <c r="I28" i="7"/>
  <c r="T28" i="7"/>
  <c r="X28" i="7" s="1"/>
  <c r="J28" i="7"/>
  <c r="Q28" i="7" s="1"/>
  <c r="T28" i="6"/>
  <c r="X28" i="6" s="1"/>
  <c r="L28" i="6"/>
  <c r="P28" i="6" s="1"/>
  <c r="J28" i="6"/>
  <c r="Q28" i="6" s="1"/>
  <c r="E29" i="6" a="1"/>
  <c r="I28" i="6"/>
  <c r="R28" i="7" l="1"/>
  <c r="O29" i="7"/>
  <c r="W29" i="7"/>
  <c r="N29" i="7"/>
  <c r="V29" i="7"/>
  <c r="M29" i="7"/>
  <c r="U29" i="7"/>
  <c r="R28" i="6"/>
  <c r="U29" i="6"/>
  <c r="M29" i="6"/>
  <c r="V29" i="6"/>
  <c r="N29" i="6"/>
  <c r="W29" i="6"/>
  <c r="O29" i="6"/>
  <c r="I29" i="7" l="1"/>
  <c r="L29" i="7"/>
  <c r="P29" i="7" s="1"/>
  <c r="T29" i="7"/>
  <c r="X29" i="7" s="1"/>
  <c r="J29" i="7"/>
  <c r="Q29" i="7" s="1"/>
  <c r="T29" i="6"/>
  <c r="X29" i="6" s="1"/>
  <c r="L29" i="6"/>
  <c r="P29" i="6" s="1"/>
  <c r="E30" i="6" a="1"/>
  <c r="J29" i="6"/>
  <c r="Q29" i="6" s="1"/>
  <c r="I29" i="6"/>
  <c r="V30" i="7" l="1"/>
  <c r="M30" i="7"/>
  <c r="U30" i="7"/>
  <c r="O30" i="7"/>
  <c r="W30" i="7"/>
  <c r="N30" i="7"/>
  <c r="R29" i="7"/>
  <c r="N30" i="6"/>
  <c r="O30" i="6"/>
  <c r="W30" i="6"/>
  <c r="M30" i="6"/>
  <c r="U30" i="6"/>
  <c r="V30" i="6"/>
  <c r="R29" i="6"/>
  <c r="L30" i="7" l="1"/>
  <c r="P30" i="7" s="1"/>
  <c r="T30" i="7"/>
  <c r="X30" i="7" s="1"/>
  <c r="J30" i="7"/>
  <c r="Q30" i="7" s="1"/>
  <c r="I30" i="7"/>
  <c r="T30" i="6"/>
  <c r="X30" i="6" s="1"/>
  <c r="L30" i="6"/>
  <c r="P30" i="6" s="1"/>
  <c r="E31" i="6" a="1"/>
  <c r="I30" i="6"/>
  <c r="J30" i="6"/>
  <c r="Q30" i="6" s="1"/>
  <c r="R30" i="7" l="1"/>
  <c r="O31" i="7"/>
  <c r="W31" i="7"/>
  <c r="N31" i="7"/>
  <c r="V31" i="7"/>
  <c r="M31" i="7"/>
  <c r="U31" i="7"/>
  <c r="R30" i="6"/>
  <c r="M31" i="6"/>
  <c r="U31" i="6"/>
  <c r="V31" i="6"/>
  <c r="W31" i="6"/>
  <c r="N31" i="6"/>
  <c r="O31" i="6"/>
  <c r="L31" i="7" l="1"/>
  <c r="P31" i="7" s="1"/>
  <c r="T31" i="7"/>
  <c r="X31" i="7" s="1"/>
  <c r="I31" i="7"/>
  <c r="J31" i="7"/>
  <c r="Q31" i="7" s="1"/>
  <c r="T31" i="6"/>
  <c r="X31" i="6" s="1"/>
  <c r="L31" i="6"/>
  <c r="P31" i="6" s="1"/>
  <c r="I31" i="6"/>
  <c r="E32" i="6" a="1"/>
  <c r="J31" i="6"/>
  <c r="Q31" i="6" s="1"/>
  <c r="R31" i="7" l="1"/>
  <c r="O32" i="7"/>
  <c r="W32" i="7"/>
  <c r="N32" i="7"/>
  <c r="V32" i="7"/>
  <c r="M32" i="7"/>
  <c r="U32" i="7"/>
  <c r="R31" i="6"/>
  <c r="W32" i="6"/>
  <c r="V32" i="6"/>
  <c r="M32" i="6"/>
  <c r="N32" i="6"/>
  <c r="O32" i="6"/>
  <c r="U32" i="6"/>
  <c r="T32" i="7" l="1"/>
  <c r="X32" i="7" s="1"/>
  <c r="J32" i="7"/>
  <c r="Q32" i="7" s="1"/>
  <c r="I32" i="7"/>
  <c r="L32" i="7"/>
  <c r="P32" i="7" s="1"/>
  <c r="L32" i="6"/>
  <c r="P32" i="6" s="1"/>
  <c r="T32" i="6"/>
  <c r="X32" i="6" s="1"/>
  <c r="I32" i="6"/>
  <c r="J32" i="6"/>
  <c r="Q32" i="6" s="1"/>
  <c r="E33" i="6" a="1"/>
  <c r="R32" i="7" l="1"/>
  <c r="W33" i="7"/>
  <c r="N33" i="7"/>
  <c r="V33" i="7"/>
  <c r="M33" i="7"/>
  <c r="U33" i="7"/>
  <c r="O33" i="7"/>
  <c r="O33" i="6"/>
  <c r="N33" i="6"/>
  <c r="U33" i="6"/>
  <c r="W33" i="6"/>
  <c r="V33" i="6"/>
  <c r="M33" i="6"/>
  <c r="R32" i="6"/>
  <c r="L33" i="7" l="1"/>
  <c r="P33" i="7" s="1"/>
  <c r="T33" i="7"/>
  <c r="X33" i="7" s="1"/>
  <c r="J33" i="7"/>
  <c r="Q33" i="7" s="1"/>
  <c r="I33" i="7"/>
  <c r="T33" i="6"/>
  <c r="X33" i="6" s="1"/>
  <c r="L33" i="6"/>
  <c r="P33" i="6" s="1"/>
  <c r="J33" i="6"/>
  <c r="Q33" i="6" s="1"/>
  <c r="E34" i="6" a="1"/>
  <c r="I33" i="6"/>
  <c r="R33" i="7" l="1"/>
  <c r="O34" i="7"/>
  <c r="W34" i="7"/>
  <c r="N34" i="7"/>
  <c r="U34" i="7"/>
  <c r="V34" i="7"/>
  <c r="M34" i="7"/>
  <c r="V34" i="6"/>
  <c r="W34" i="6"/>
  <c r="N34" i="6"/>
  <c r="M34" i="6"/>
  <c r="U34" i="6"/>
  <c r="O34" i="6"/>
  <c r="R33" i="6"/>
  <c r="L34" i="7" l="1"/>
  <c r="P34" i="7" s="1"/>
  <c r="T34" i="7"/>
  <c r="X34" i="7" s="1"/>
  <c r="J34" i="7"/>
  <c r="Q34" i="7" s="1"/>
  <c r="I34" i="7"/>
  <c r="L34" i="6"/>
  <c r="P34" i="6" s="1"/>
  <c r="T34" i="6"/>
  <c r="X34" i="6" s="1"/>
  <c r="I34" i="6"/>
  <c r="J34" i="6"/>
  <c r="Q34" i="6" s="1"/>
  <c r="E35" i="6" a="1"/>
  <c r="R34" i="7" l="1"/>
  <c r="U35" i="7"/>
  <c r="O35" i="7"/>
  <c r="W35" i="7"/>
  <c r="N35" i="7"/>
  <c r="M35" i="7"/>
  <c r="V35" i="7"/>
  <c r="R34" i="6"/>
  <c r="M35" i="6"/>
  <c r="V35" i="6"/>
  <c r="N35" i="6"/>
  <c r="O35" i="6"/>
  <c r="U35" i="6"/>
  <c r="W35" i="6"/>
  <c r="L35" i="7" l="1"/>
  <c r="P35" i="7" s="1"/>
  <c r="T35" i="7"/>
  <c r="X35" i="7" s="1"/>
  <c r="J35" i="7"/>
  <c r="Q35" i="7" s="1"/>
  <c r="I35" i="7"/>
  <c r="E36" i="6" a="1"/>
  <c r="T35" i="6"/>
  <c r="X35" i="6" s="1"/>
  <c r="L35" i="6"/>
  <c r="P35" i="6" s="1"/>
  <c r="I35" i="6"/>
  <c r="J35" i="6"/>
  <c r="Q35" i="6" s="1"/>
  <c r="O36" i="7" l="1"/>
  <c r="O38" i="7" s="1"/>
  <c r="W36" i="7"/>
  <c r="W38" i="7" s="1"/>
  <c r="N36" i="7"/>
  <c r="N38" i="7" s="1"/>
  <c r="V36" i="7"/>
  <c r="V38" i="7" s="1"/>
  <c r="M36" i="7"/>
  <c r="M38" i="7" s="1"/>
  <c r="U36" i="7"/>
  <c r="U38" i="7" s="1"/>
  <c r="R35" i="7"/>
  <c r="R35" i="6"/>
  <c r="M36" i="6"/>
  <c r="M38" i="6" s="1"/>
  <c r="U36" i="6"/>
  <c r="U38" i="6" s="1"/>
  <c r="W36" i="6"/>
  <c r="W38" i="6" s="1"/>
  <c r="O36" i="6"/>
  <c r="O38" i="6" s="1"/>
  <c r="V36" i="6"/>
  <c r="V38" i="6" s="1"/>
  <c r="N36" i="6"/>
  <c r="N38" i="6" s="1"/>
  <c r="L36" i="7" l="1"/>
  <c r="T36" i="7"/>
  <c r="J36" i="7"/>
  <c r="Q36" i="7" s="1"/>
  <c r="I36" i="7"/>
  <c r="J36" i="6"/>
  <c r="J38" i="6" s="1"/>
  <c r="D6" i="8" s="1"/>
  <c r="T36" i="6"/>
  <c r="T38" i="6" s="1"/>
  <c r="L36" i="6"/>
  <c r="L38" i="6" s="1"/>
  <c r="I36" i="6"/>
  <c r="X36" i="7" l="1"/>
  <c r="X38" i="7" s="1"/>
  <c r="C7" i="8" s="1"/>
  <c r="T38" i="7"/>
  <c r="Q36" i="6"/>
  <c r="Q38" i="6" s="1"/>
  <c r="Q38" i="7"/>
  <c r="J38" i="7"/>
  <c r="D7" i="8" s="1"/>
  <c r="P36" i="7"/>
  <c r="L38" i="7"/>
  <c r="P36" i="6"/>
  <c r="P38" i="6" s="1"/>
  <c r="X36" i="6"/>
  <c r="X38" i="6" s="1"/>
  <c r="C6" i="8" s="1"/>
  <c r="F7" i="8" l="1"/>
  <c r="R36" i="7"/>
  <c r="R38" i="7" s="1"/>
  <c r="B7" i="8" s="1"/>
  <c r="C13" i="8" s="1"/>
  <c r="P38" i="7"/>
  <c r="R36" i="6"/>
  <c r="R38" i="6" s="1"/>
  <c r="B6" i="8" s="1"/>
  <c r="B12" i="8" s="1"/>
  <c r="B91" i="3"/>
  <c r="C12" i="8" l="1"/>
  <c r="C14" i="8" s="1"/>
  <c r="C15" i="8" s="1"/>
  <c r="B13" i="8"/>
  <c r="B14" i="8" s="1"/>
  <c r="B15" i="8" s="1"/>
  <c r="E7" i="8"/>
  <c r="G7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<sst xmlns="http://schemas.openxmlformats.org/spreadsheetml/2006/main" count="456" uniqueCount="326">
  <si>
    <t>Probabilistic sensitivity analysis, CE plane, CEAC</t>
  </si>
  <si>
    <t>9_PSA</t>
  </si>
  <si>
    <t>One-way sensitivity analysis and tornado diagram</t>
  </si>
  <si>
    <t>8_DSA</t>
  </si>
  <si>
    <t>Costs, QALYs, ICER, NMB, charts</t>
  </si>
  <si>
    <t>7_Results</t>
  </si>
  <si>
    <t>Markov trace, everolimus</t>
  </si>
  <si>
    <t>6_Markov_EVE</t>
  </si>
  <si>
    <t>Markov trace, standard care</t>
  </si>
  <si>
    <t>5_Markov_SC</t>
  </si>
  <si>
    <t>Standard care and everolimus transition matrices</t>
  </si>
  <si>
    <t>4_Transitions</t>
  </si>
  <si>
    <t>All inputs with value, low, high, distribution and source</t>
  </si>
  <si>
    <t>3_Parameters</t>
  </si>
  <si>
    <t>SQL exports: transition counts, cohort characteristics, visit gaps</t>
  </si>
  <si>
    <t>2_Data</t>
  </si>
  <si>
    <t>This sheet</t>
  </si>
  <si>
    <t>1_plan</t>
  </si>
  <si>
    <t>8. Sheets</t>
  </si>
  <si>
    <t>Standard care, undiscounted, utilities set to 1: years spent in each state compared with msm's published estimates (about 8.8, 2.2 and 1.8 years in states 1, 2 and 3)</t>
  </si>
  <si>
    <t>C3</t>
  </si>
  <si>
    <t>The cohort adds up to 1,000 in every cycle</t>
  </si>
  <si>
    <t>C2</t>
  </si>
  <si>
    <t>Every row of each transition matrix sums to 1</t>
  </si>
  <si>
    <t>C1</t>
  </si>
  <si>
    <t>7. Checks</t>
  </si>
  <si>
    <t>Utilities for the CAV states are assumed decrements.</t>
  </si>
  <si>
    <t>L6</t>
  </si>
  <si>
    <t>Few transitions start from state 3, so its probabilities are imprecise.</t>
  </si>
  <si>
    <t>L5</t>
  </si>
  <si>
    <t>Angiograms are irregularly spaced. Treating each gap as one year is an approximation. A multi-state model in R (msm) would handle this properly.</t>
  </si>
  <si>
    <t>L4</t>
  </si>
  <si>
    <t>The trial measured early vessel wall thickening, which is a surrogate for the angiographic CAV used in the model.</t>
  </si>
  <si>
    <t>L3</t>
  </si>
  <si>
    <t>The relative risk is a crude estimate from one trial with no confidence interval. Its uncertainty in the PSA is assumed.</t>
  </si>
  <si>
    <t>L2</t>
  </si>
  <si>
    <t>The cav data are old (Papworth, 1980s and 1990s). Transplant care has improved since.</t>
  </si>
  <si>
    <t>L1</t>
  </si>
  <si>
    <t>6. Limitations</t>
  </si>
  <si>
    <t>Adverse events and treatment switching are not modelled.</t>
  </si>
  <si>
    <t>A7</t>
  </si>
  <si>
    <t>Costs and utilities depend only on the health state. Everolimus is taken while alive.</t>
  </si>
  <si>
    <t>A6</t>
  </si>
  <si>
    <t>The treatment effect lasts for the whole time horizon.</t>
  </si>
  <si>
    <t>A5</t>
  </si>
  <si>
    <t>Everolimus lowers progression out of state 1 only. It has no effect once CAV is present and no direct effect on death.</t>
  </si>
  <si>
    <t>A4</t>
  </si>
  <si>
    <t>Transition probabilities do not change with time since transplant.</t>
  </si>
  <si>
    <t>A3</t>
  </si>
  <si>
    <t>The time between angiograms is treated as one cycle (one year). The mean gap is shown in 2_Data.</t>
  </si>
  <si>
    <t>A2</t>
  </si>
  <si>
    <t>Transitions use statemax (the worst state reached so far). CAV cannot improve. Apparent improvements are treated as angiogram misclassification.</t>
  </si>
  <si>
    <t>A1</t>
  </si>
  <si>
    <t>5. Assumptions</t>
  </si>
  <si>
    <t>Deterministic: one-way analysis with a tornado diagram. Probabilistic: 1,000 iterations, cost-effectiveness plane and acceptability curve.</t>
  </si>
  <si>
    <t>Sensitivity analysis</t>
  </si>
  <si>
    <t>ICER, NMB, threshold price for everolimus (Goal Seek), state occupancy chart</t>
  </si>
  <si>
    <t>Results</t>
  </si>
  <si>
    <t>Applied to costs, life years and QALYs</t>
  </si>
  <si>
    <t>Half-cycle correction</t>
  </si>
  <si>
    <t>Each cycle, death probability = the larger of the model's death probability and the ONS qx at the cohort's current age</t>
  </si>
  <si>
    <t>Background mortality</t>
  </si>
  <si>
    <t>Everolimus</t>
  </si>
  <si>
    <t>Transition probabilities = transition counts in each row ÷ row total (4_Transitions)</t>
  </si>
  <si>
    <t>Standard care</t>
  </si>
  <si>
    <t>Markov cohort model in Excel. 1,000 people start in state 1.</t>
  </si>
  <si>
    <t>Model type</t>
  </si>
  <si>
    <t>4. Model structure</t>
  </si>
  <si>
    <t>ONS National Life Tables, UK, 2022 to 2024</t>
  </si>
  <si>
    <t>Published UK sources or labelled assumptions (see 3_Parameters)</t>
  </si>
  <si>
    <t>Utilities and costs</t>
  </si>
  <si>
    <t>Treatment effect</t>
  </si>
  <si>
    <t>cav dataset from the R package msm (Papworth Hospital; Sharples et al. 2003, Transplantation 76(4):679-682). 622 patients, 2,846 angiograms. Exported with scripts/01_get_data.R, counted with scripts/02_transitions.sql, stored in 2_Data.</t>
  </si>
  <si>
    <t>Transitions</t>
  </si>
  <si>
    <t>3. Data sources</t>
  </si>
  <si>
    <t>State 1 → State 2 → State 3, and every alive state → Death</t>
  </si>
  <si>
    <t>Diagram</t>
  </si>
  <si>
    <t>1 → 1, 2, 3, 4   |   2 → 2, 3, 4   |   3 → 3, 4   |   4 → 4. No backward moves.</t>
  </si>
  <si>
    <t>Allowed moves</t>
  </si>
  <si>
    <t>Death (absorbing)</t>
  </si>
  <si>
    <t>State 4</t>
  </si>
  <si>
    <t>Severe CAV (stenosis over 70%)</t>
  </si>
  <si>
    <t>State 3</t>
  </si>
  <si>
    <t>Mild or moderate CAV (stenosis up to 70%)</t>
  </si>
  <si>
    <t>State 2</t>
  </si>
  <si>
    <t>No CAV (0% stenosis)</t>
  </si>
  <si>
    <t>State 1</t>
  </si>
  <si>
    <t>2. Health states</t>
  </si>
  <si>
    <t>£25,000 to £35,000 per QALY (NICE)</t>
  </si>
  <si>
    <t>Threshold</t>
  </si>
  <si>
    <t>Costs, life years, QALYs, ICER, and net monetary benefit (NMB)</t>
  </si>
  <si>
    <t>Outcomes</t>
  </si>
  <si>
    <t>3.5% a year for costs and QALYs (NICE)</t>
  </si>
  <si>
    <t>Discounting</t>
  </si>
  <si>
    <t>30 years, annual cycles</t>
  </si>
  <si>
    <t>Time horizon</t>
  </si>
  <si>
    <t>NHS and Personal Social Services</t>
  </si>
  <si>
    <t>Perspective</t>
  </si>
  <si>
    <t>Azathioprine (standard care). The cav cohort represents standard care.</t>
  </si>
  <si>
    <t>Comparator</t>
  </si>
  <si>
    <t>Intervention</t>
  </si>
  <si>
    <t>Adult heart transplant recipients with no CAV at their first angiogram. Starting age and share of men come from the cav cohort (see 3_Parameters).</t>
  </si>
  <si>
    <t>Population</t>
  </si>
  <si>
    <t>Is everolimus cost-effective compared with azathioprine for preventing cardiac allograft vasculopathy (CAV) in adult heart transplant recipients in the UK?</t>
  </si>
  <si>
    <t>Question</t>
  </si>
  <si>
    <t>1. Decision problem</t>
  </si>
  <si>
    <t>Everolimus vs azathioprine after heart transplant: Markov cohort model</t>
  </si>
  <si>
    <t>cohort_characteristics</t>
  </si>
  <si>
    <t>patients</t>
  </si>
  <si>
    <t>mean_age_at_transplant</t>
  </si>
  <si>
    <t>min_age</t>
  </si>
  <si>
    <t>max_age</t>
  </si>
  <si>
    <t>share_male</t>
  </si>
  <si>
    <t>mean_gap_years</t>
  </si>
  <si>
    <t>min_gap</t>
  </si>
  <si>
    <t>max_gap</t>
  </si>
  <si>
    <t>gaps_over_1_5_years</t>
  </si>
  <si>
    <t>all_gaps</t>
  </si>
  <si>
    <t>1 = no CAV; 2 = mild/moderate CAV; 3 = severe CAV; 4 = death</t>
  </si>
  <si>
    <t>to_4</t>
  </si>
  <si>
    <t>to_3</t>
  </si>
  <si>
    <t>to_2</t>
  </si>
  <si>
    <t>to_1</t>
  </si>
  <si>
    <t>from_state</t>
  </si>
  <si>
    <t>from_1</t>
  </si>
  <si>
    <t>from_2</t>
  </si>
  <si>
    <t>from_3</t>
  </si>
  <si>
    <t xml:space="preserve"> (01_SQL.sql results)</t>
  </si>
  <si>
    <t>total</t>
  </si>
  <si>
    <t>from_4</t>
  </si>
  <si>
    <t>Azathioprine (standard care)</t>
  </si>
  <si>
    <t>Transition_Matrix</t>
  </si>
  <si>
    <t>Relative risk of CAV for everolimus 1.5 mg vs azathioprine, calculated from the 12-month incidence of vasculopathy in Eisen et al. 2003, NEJM 349(9):847-858 (35.7% vs 52.8%). See 3_Parameters.</t>
  </si>
  <si>
    <t>Standard-care probabilities of moving 1 → 2 and 1 → 3 are multiplied by the relative risk. Death from state 1 is unchanged. Staying in state 1 takes the remainder.</t>
  </si>
  <si>
    <t>The 1.5 mg dose is used because it is the usual dose. The 12-month relative risk from the trial is applied in every annual cycle.</t>
  </si>
  <si>
    <t>A8</t>
  </si>
  <si>
    <t>Description</t>
  </si>
  <si>
    <t>Value</t>
  </si>
  <si>
    <t>Source</t>
  </si>
  <si>
    <t>CAV risk, everolimus 1.5 mg</t>
  </si>
  <si>
    <t>Eisen 2003, abstract</t>
  </si>
  <si>
    <t>CAV risk, azathioprine</t>
  </si>
  <si>
    <t>Calculated</t>
  </si>
  <si>
    <r>
      <t>Relative risk (</t>
    </r>
    <r>
      <rPr>
        <b/>
        <sz val="10"/>
        <color theme="1"/>
        <rFont val="Arial Unicode MS"/>
      </rPr>
      <t>RR</t>
    </r>
    <r>
      <rPr>
        <b/>
        <sz val="11"/>
        <color theme="1"/>
        <rFont val="Calibri"/>
        <family val="2"/>
        <scheme val="minor"/>
      </rPr>
      <t>) (for CAV risk)</t>
    </r>
  </si>
  <si>
    <t>Everolimus: “1→2 and 1→3 × RR (3_Parameters). Other cells as azathioprine.</t>
  </si>
  <si>
    <t>1. General settings</t>
  </si>
  <si>
    <t>Parameter</t>
  </si>
  <si>
    <t>Cohort size</t>
  </si>
  <si>
    <t>Choice</t>
  </si>
  <si>
    <t>Cycle length</t>
  </si>
  <si>
    <t>1 year</t>
  </si>
  <si>
    <t>Discount rate, costs and QALYs</t>
  </si>
  <si>
    <t>NICE</t>
  </si>
  <si>
    <t>Starting age</t>
  </si>
  <si>
    <t>Share of men</t>
  </si>
  <si>
    <t>2. Treatment effect: everolimus vs azathioprine (Eisen et al. 2003)</t>
  </si>
  <si>
    <t>3. Drug costs</t>
  </si>
  <si>
    <t>Drug</t>
  </si>
  <si>
    <t>Pack price</t>
  </si>
  <si>
    <t>Dose (assumption)</t>
  </si>
  <si>
    <t>Annual cost</t>
  </si>
  <si>
    <t>Everolimus (Certican 0.75 mg, 60 tablets)</t>
  </si>
  <si>
    <t>0.75 mg twice a day = 2 tablets</t>
  </si>
  <si>
    <t>Azathioprine 50 mg, 56 tablets</t>
  </si>
  <si>
    <t>~2 mg/kg for a 70 kg adult = 3 tablets</t>
  </si>
  <si>
    <t>source</t>
  </si>
  <si>
    <t>https://bnf.nice.org.uk/drugs/everolimus/medicinal-forms/</t>
  </si>
  <si>
    <t>https://bnf.nice.org.uk/drugs/azathioprine/medicinal-forms/</t>
  </si>
  <si>
    <t xml:space="preserve"> </t>
  </si>
  <si>
    <t>4. Utilities</t>
  </si>
  <si>
    <t>State</t>
  </si>
  <si>
    <t>1, no CAV</t>
  </si>
  <si>
    <t>2, mild/moderate CAV</t>
  </si>
  <si>
    <t>Assumption</t>
  </si>
  <si>
    <t>3, severe CAV</t>
  </si>
  <si>
    <t>4, death</t>
  </si>
  <si>
    <t>–</t>
  </si>
  <si>
    <t>https://doi.org/10.3310/hta10480</t>
  </si>
  <si>
    <t>5. State costs (annual, excluding the study drugs)</t>
  </si>
  <si>
    <t>Item</t>
  </si>
  <si>
    <t>Unit cost (£)</t>
  </si>
  <si>
    <t>State 1: no CAV</t>
  </si>
  <si>
    <t>State 2: mild/moderate</t>
  </si>
  <si>
    <t>State 3: severe</t>
  </si>
  <si>
    <t>Clinic follow-up visit (consultant-led outpatient)</t>
  </si>
  <si>
    <t>Cost: Jones et al., Unit Costs of Health and Social Care 2025, Table 6.1.1 (NCC 2024/25), https://kar.kent.ac.uk/115569/. Visits per year: assumption</t>
  </si>
  <si>
    <t>Coronary angiogram (HRG EY43, standard cardiac catheterisation)</t>
  </si>
  <si>
    <t>Cost: NICE MTG32, section 5.13, https://www.nice.org.uk/guidance/mtg32/chapter/5-Cost-considerations. Once a year: ISHLT 2023 guideline (annual or biannual angiography)</t>
  </si>
  <si>
    <t>PCI with stent (HRG EY41, standard PTCA)</t>
  </si>
  <si>
    <t>Cost: ORBITA economic evaluation (NHS Reference Costs 2017/18), https://pmc.ncbi.nlm.nih.gov/articles/PMC7875263. Share: Prada-Delgado et al. 2012, Transplant Proc 44(9):2657-9 (27.9% revascularised over ~3 years ≈ 10% a year)</t>
  </si>
  <si>
    <r>
      <t>Annual state cost (</t>
    </r>
    <r>
      <rPr>
        <b/>
        <sz val="10"/>
        <color theme="1"/>
        <rFont val="Arial Unicode MS"/>
      </rPr>
      <t>c_1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c_2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c_3</t>
    </r>
    <r>
      <rPr>
        <b/>
        <sz val="11"/>
        <color theme="1"/>
        <rFont val="Calibri"/>
        <family val="2"/>
        <scheme val="minor"/>
      </rPr>
      <t>)</t>
    </r>
  </si>
  <si>
    <t>Calculated: visits × 203 + angiograms × 1,685 + PCI share × 2,725</t>
  </si>
  <si>
    <r>
      <t>Death (</t>
    </r>
    <r>
      <rPr>
        <sz val="10"/>
        <color theme="1"/>
        <rFont val="Arial Unicode MS"/>
      </rPr>
      <t>c_4</t>
    </r>
    <r>
      <rPr>
        <sz val="11"/>
        <color theme="1"/>
        <rFont val="Calibri"/>
        <family val="2"/>
        <scheme val="minor"/>
      </rPr>
      <t>)</t>
    </r>
  </si>
  <si>
    <t>No costs after death</t>
  </si>
  <si>
    <t>National Life Tables, United Kingdom, period expectation of life, based on data for the years 2022-2024</t>
  </si>
  <si>
    <t>age</t>
  </si>
  <si>
    <t>qx (Males)</t>
  </si>
  <si>
    <t>qx (Females)</t>
  </si>
  <si>
    <t>qx weighted by the share of men in the cohort. Used as the minimum death probability in each cycle</t>
  </si>
  <si>
    <t xml:space="preserve">6. Background mortality: probability of death by age </t>
  </si>
  <si>
    <t>Cycle</t>
  </si>
  <si>
    <t>Age</t>
  </si>
  <si>
    <t>qx male</t>
  </si>
  <si>
    <t>qx female</t>
  </si>
  <si>
    <t>qx weighted</t>
  </si>
  <si>
    <t>7. Low / high / distribution columns</t>
  </si>
  <si>
    <t>Base</t>
  </si>
  <si>
    <t>Low</t>
  </si>
  <si>
    <t>High</t>
  </si>
  <si>
    <t>Distribution</t>
  </si>
  <si>
    <t>Basis for the range</t>
  </si>
  <si>
    <t>Settings</t>
  </si>
  <si>
    <t>Fixed</t>
  </si>
  <si>
    <t>Doesn’t affect results</t>
  </si>
  <si>
    <t>Scenario: younger or older patient</t>
  </si>
  <si>
    <t>From data</t>
  </si>
  <si>
    <t>Tested as a scenario later (40 years)</t>
  </si>
  <si>
    <t>Discount rate</t>
  </si>
  <si>
    <t>NICE scenarios</t>
  </si>
  <si>
    <t>RR</t>
  </si>
  <si>
    <t>Lognormal</t>
  </si>
  <si>
    <t>Assumption, no CI in the trial</t>
  </si>
  <si>
    <t>Utilities</t>
  </si>
  <si>
    <r>
      <t>u_1</t>
    </r>
    <r>
      <rPr>
        <sz val="11"/>
        <color theme="1"/>
        <rFont val="Calibri"/>
        <family val="2"/>
        <scheme val="minor"/>
      </rPr>
      <t xml:space="preserve"> (no CAV)</t>
    </r>
  </si>
  <si>
    <t>Beta</t>
  </si>
  <si>
    <t>±0.05, assumption</t>
  </si>
  <si>
    <t>Decrement, state 2</t>
  </si>
  <si>
    <t>Gamma</t>
  </si>
  <si>
    <t>±50%, assumption</t>
  </si>
  <si>
    <t>Decrement, state 3</t>
  </si>
  <si>
    <r>
      <t>State costs</t>
    </r>
    <r>
      <rPr>
        <sz val="11"/>
        <color theme="1"/>
        <rFont val="Calibri"/>
        <family val="2"/>
        <scheme val="minor"/>
      </rPr>
      <t xml:space="preserve"> (vary the inputs, not the totals)</t>
    </r>
  </si>
  <si>
    <t>Clinic visit cost</t>
  </si>
  <si>
    <t>±25%</t>
  </si>
  <si>
    <t>Angiogram cost</t>
  </si>
  <si>
    <t>PCI cost</t>
  </si>
  <si>
    <t>PCI share, state 3</t>
  </si>
  <si>
    <t>Research range</t>
  </si>
  <si>
    <t>Visits per year</t>
  </si>
  <si>
    <t>Drug costs</t>
  </si>
  <si>
    <t>c_eve</t>
  </si>
  <si>
    <t>c_aza</t>
  </si>
  <si>
    <t>counts</t>
  </si>
  <si>
    <t>Dirichlet</t>
  </si>
  <si>
    <t>Uses your SQL counts directly in the PSA</t>
  </si>
  <si>
    <t>ONS qx</t>
  </si>
  <si>
    <t>table</t>
  </si>
  <si>
    <t>National statistics</t>
  </si>
  <si>
    <t>List price (BNF / Drug Tariff); fixed.</t>
  </si>
  <si>
    <t>qx (ONS)</t>
  </si>
  <si>
    <t>ONS check</t>
  </si>
  <si>
    <t>S1</t>
  </si>
  <si>
    <t>S2</t>
  </si>
  <si>
    <t>S3</t>
  </si>
  <si>
    <t>Dead</t>
  </si>
  <si>
    <t>Checksum</t>
  </si>
  <si>
    <t>Alive</t>
  </si>
  <si>
    <t>Drug cost</t>
  </si>
  <si>
    <t>Total cost</t>
  </si>
  <si>
    <t>Half-cycle weight</t>
  </si>
  <si>
    <t>Discount factor</t>
  </si>
  <si>
    <t>Cost S1</t>
  </si>
  <si>
    <t>Cost S2</t>
  </si>
  <si>
    <t>Cost S3</t>
  </si>
  <si>
    <t>Total state cost</t>
  </si>
  <si>
    <t>Cost of Death</t>
  </si>
  <si>
    <t>QALY S1</t>
  </si>
  <si>
    <t>QALY S2</t>
  </si>
  <si>
    <t>QALY S3</t>
  </si>
  <si>
    <t>QALY Dead</t>
  </si>
  <si>
    <t>Total QALYs</t>
  </si>
  <si>
    <t>Time horizon (years)</t>
  </si>
  <si>
    <t>Mean time between angiograms</t>
  </si>
  <si>
    <t>cav data, SQL</t>
  </si>
  <si>
    <t>'4/6/8</t>
  </si>
  <si>
    <t>Azathioprine: “Counts from 2_Data (cav, statemax) ÷ row total. converted from a 1.65-year gap to annual</t>
  </si>
  <si>
    <t>Markov trace: azathioprine (standard care)</t>
  </si>
  <si>
    <t>Cohort of 1,000 starting in state 1 at age 47. Annual cycles, 30-year horizon. Costs and QALYs discounted at 3.5% with half-cycle correction. Results per patient in row 38.</t>
  </si>
  <si>
    <t>1. State membership</t>
  </si>
  <si>
    <t>2. Costs (£)</t>
  </si>
  <si>
    <t>3. QALYs</t>
  </si>
  <si>
    <t>4. Adjustments</t>
  </si>
  <si>
    <t>Per patient (discounted)</t>
  </si>
  <si>
    <t>Life years (undiscounted)</t>
  </si>
  <si>
    <t>Limitation: 4.5% of the cohort is still alive at 30 years, so lifetime costs, QALYs and life years are slightly underestimated (life years by about 3%).</t>
  </si>
  <si>
    <t>Markov trace: everolimus</t>
  </si>
  <si>
    <t>Transition_Probabilities: Azathioprine (standard care)</t>
  </si>
  <si>
    <t>Transition_Probabilities: Everolimus</t>
  </si>
  <si>
    <t>Azathioprine</t>
  </si>
  <si>
    <t>Tx</t>
  </si>
  <si>
    <t>Total Costs</t>
  </si>
  <si>
    <t>Total QALY</t>
  </si>
  <si>
    <t>Threshold:low</t>
  </si>
  <si>
    <t>Threshold:high</t>
  </si>
  <si>
    <t>Base-case results</t>
  </si>
  <si>
    <t>Life years</t>
  </si>
  <si>
    <t>Incremental cost</t>
  </si>
  <si>
    <t>Incremental QALYs</t>
  </si>
  <si>
    <t>ICER (£/QALY)</t>
  </si>
  <si>
    <t>Net monetary benefit</t>
  </si>
  <si>
    <t>NMB at £25,000</t>
  </si>
  <si>
    <t>NMB at £35,000</t>
  </si>
  <si>
    <t>Incremental NMB</t>
  </si>
  <si>
    <t>Cost-effective?</t>
  </si>
  <si>
    <t>Charts</t>
  </si>
  <si>
    <t>S1_</t>
  </si>
  <si>
    <t>Decrements  of  mild/moderate CAV</t>
  </si>
  <si>
    <t>Decrements  of  severe CAV</t>
  </si>
  <si>
    <t>calculated</t>
  </si>
  <si>
    <t>Input cell to change</t>
  </si>
  <si>
    <t>ICER at low</t>
  </si>
  <si>
    <t>ICER at high</t>
  </si>
  <si>
    <t>Range</t>
  </si>
  <si>
    <t>Utility, no CAV</t>
  </si>
  <si>
    <t>u_1</t>
  </si>
  <si>
    <t>dec_2</t>
  </si>
  <si>
    <t>dec_3</t>
  </si>
  <si>
    <t>B43</t>
  </si>
  <si>
    <t>B44</t>
  </si>
  <si>
    <t>B45</t>
  </si>
  <si>
    <t>E45</t>
  </si>
  <si>
    <t>disc</t>
  </si>
  <si>
    <t>ICER at Base</t>
  </si>
  <si>
    <t>Low value</t>
  </si>
  <si>
    <t>High value</t>
  </si>
  <si>
    <t xml:space="preserve">One-way sensitivity analysis 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</si>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</sst>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164" formatCode="0.000"/>
    <numFmt numFmtId="165" formatCode="0.00000"/>
    <numFmt numFmtId="166" formatCode="0.000000"/>
    <numFmt numFmtId="167" formatCode="_-[$£-809]* #,##0.00_-;\-[$£-809]* #,##0.00_-;_-[$£-809]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4"/>
      <name val="Arial"/>
    </font>
    <font>
      <sz val="12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60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2" borderId="0" xfId="0" applyFill="1"/>
    <xf numFmtId="0" fontId="6" fillId="2" borderId="0" xfId="0" applyFont="1" applyFill="1"/>
    <xf numFmtId="0" fontId="7" fillId="0" borderId="0" xfId="0" applyFont="1"/>
    <xf numFmtId="0" fontId="8" fillId="3" borderId="0" xfId="0" applyFont="1" applyFill="1"/>
    <xf numFmtId="0" fontId="9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6" xfId="0" applyNumberFormat="1" applyBorder="1"/>
    <xf numFmtId="164" fontId="0" fillId="4" borderId="7" xfId="0" applyNumberFormat="1" applyFill="1" applyBorder="1"/>
    <xf numFmtId="164" fontId="0" fillId="4" borderId="0" xfId="0" applyNumberFormat="1" applyFill="1"/>
    <xf numFmtId="164" fontId="0" fillId="4" borderId="8" xfId="0" applyNumberFormat="1" applyFill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3" borderId="0" xfId="0" applyFont="1" applyFill="1"/>
    <xf numFmtId="0" fontId="12" fillId="3" borderId="0" xfId="0" applyFont="1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165" fontId="0" fillId="0" borderId="1" xfId="1" applyNumberFormat="1" applyFont="1" applyBorder="1"/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65" fontId="0" fillId="0" borderId="0" xfId="0" applyNumberFormat="1"/>
    <xf numFmtId="0" fontId="0" fillId="0" borderId="0" xfId="0" applyAlignment="1">
      <alignment vertical="center"/>
    </xf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167" fontId="0" fillId="0" borderId="6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167" fontId="0" fillId="0" borderId="10" xfId="0" applyNumberFormat="1" applyBorder="1"/>
    <xf numFmtId="0" fontId="15" fillId="0" borderId="1" xfId="0" applyFont="1" applyBorder="1" applyAlignment="1">
      <alignment vertical="center"/>
    </xf>
    <xf numFmtId="0" fontId="17" fillId="0" borderId="1" xfId="2" applyBorder="1" applyAlignment="1">
      <alignment vertical="center"/>
    </xf>
    <xf numFmtId="167" fontId="3" fillId="0" borderId="1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9" fillId="0" borderId="0" xfId="0" applyFont="1"/>
    <xf numFmtId="166" fontId="19" fillId="0" borderId="0" xfId="0" applyNumberFormat="1" applyFont="1"/>
    <xf numFmtId="0" fontId="0" fillId="0" borderId="7" xfId="0" applyBorder="1"/>
    <xf numFmtId="166" fontId="0" fillId="0" borderId="3" xfId="0" applyNumberFormat="1" applyBorder="1"/>
    <xf numFmtId="3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6" fontId="0" fillId="0" borderId="1" xfId="0" applyNumberFormat="1" applyBorder="1"/>
    <xf numFmtId="166" fontId="0" fillId="0" borderId="29" xfId="0" applyNumberFormat="1" applyBorder="1"/>
    <xf numFmtId="166" fontId="0" fillId="0" borderId="30" xfId="0" applyNumberFormat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6" fontId="0" fillId="0" borderId="1" xfId="0" applyNumberFormat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32" xfId="0" applyBorder="1"/>
    <xf numFmtId="0" fontId="0" fillId="0" borderId="33" xfId="0" applyBorder="1"/>
    <xf numFmtId="166" fontId="0" fillId="0" borderId="35" xfId="0" applyNumberFormat="1" applyBorder="1"/>
    <xf numFmtId="166" fontId="0" fillId="0" borderId="36" xfId="0" applyNumberFormat="1" applyBorder="1"/>
    <xf numFmtId="0" fontId="0" fillId="0" borderId="23" xfId="0" applyBorder="1"/>
    <xf numFmtId="0" fontId="0" fillId="0" borderId="37" xfId="0" applyBorder="1"/>
    <xf numFmtId="0" fontId="0" fillId="0" borderId="22" xfId="0" applyBorder="1"/>
    <xf numFmtId="0" fontId="0" fillId="0" borderId="21" xfId="0" applyBorder="1"/>
    <xf numFmtId="0" fontId="0" fillId="0" borderId="27" xfId="0" applyBorder="1"/>
    <xf numFmtId="166" fontId="0" fillId="0" borderId="27" xfId="0" applyNumberFormat="1" applyBorder="1"/>
    <xf numFmtId="166" fontId="0" fillId="0" borderId="19" xfId="0" applyNumberFormat="1" applyBorder="1"/>
    <xf numFmtId="166" fontId="0" fillId="0" borderId="38" xfId="0" applyNumberFormat="1" applyBorder="1"/>
    <xf numFmtId="165" fontId="0" fillId="0" borderId="1" xfId="0" applyNumberFormat="1" applyBorder="1"/>
    <xf numFmtId="165" fontId="0" fillId="0" borderId="10" xfId="0" applyNumberForma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4" xfId="0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165" fontId="0" fillId="0" borderId="3" xfId="1" applyNumberFormat="1" applyFont="1" applyBorder="1"/>
    <xf numFmtId="165" fontId="0" fillId="0" borderId="2" xfId="1" applyNumberFormat="1" applyFont="1" applyBorder="1"/>
    <xf numFmtId="165" fontId="0" fillId="0" borderId="5" xfId="1" applyNumberFormat="1" applyFont="1" applyBorder="1"/>
    <xf numFmtId="0" fontId="9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0" fillId="0" borderId="42" xfId="0" applyBorder="1"/>
    <xf numFmtId="0" fontId="0" fillId="0" borderId="43" xfId="0" applyBorder="1"/>
    <xf numFmtId="164" fontId="0" fillId="0" borderId="44" xfId="0" applyNumberFormat="1" applyBorder="1"/>
    <xf numFmtId="164" fontId="0" fillId="6" borderId="43" xfId="0" applyNumberFormat="1" applyFill="1" applyBorder="1"/>
    <xf numFmtId="167" fontId="0" fillId="0" borderId="5" xfId="0" applyNumberFormat="1" applyBorder="1"/>
    <xf numFmtId="167" fontId="0" fillId="0" borderId="6" xfId="0" applyNumberFormat="1" applyBorder="1"/>
    <xf numFmtId="167" fontId="0" fillId="0" borderId="33" xfId="0" applyNumberFormat="1" applyBorder="1"/>
    <xf numFmtId="167" fontId="0" fillId="0" borderId="9" xfId="0" applyNumberFormat="1" applyBorder="1"/>
    <xf numFmtId="167" fontId="0" fillId="0" borderId="11" xfId="0" applyNumberFormat="1" applyBorder="1"/>
    <xf numFmtId="167" fontId="0" fillId="0" borderId="34" xfId="0" applyNumberFormat="1" applyBorder="1"/>
    <xf numFmtId="167" fontId="0" fillId="0" borderId="44" xfId="0" applyNumberFormat="1" applyBorder="1"/>
    <xf numFmtId="167" fontId="0" fillId="6" borderId="44" xfId="0" applyNumberFormat="1" applyFill="1" applyBorder="1"/>
    <xf numFmtId="0" fontId="0" fillId="0" borderId="33" xfId="0" applyBorder="1" applyAlignment="1">
      <alignment vertical="center"/>
    </xf>
    <xf numFmtId="0" fontId="0" fillId="0" borderId="30" xfId="0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3" fillId="0" borderId="21" xfId="0" applyFont="1" applyBorder="1" applyAlignment="1">
      <alignment vertical="center" wrapText="1"/>
    </xf>
    <xf numFmtId="164" fontId="0" fillId="0" borderId="27" xfId="0" applyNumberForma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7" fillId="0" borderId="7" xfId="2" applyBorder="1"/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167" fontId="0" fillId="0" borderId="27" xfId="0" applyNumberFormat="1" applyBorder="1"/>
    <xf numFmtId="167" fontId="0" fillId="0" borderId="28" xfId="0" applyNumberFormat="1" applyBorder="1" applyAlignment="1">
      <alignment vertical="center"/>
    </xf>
    <xf numFmtId="0" fontId="17" fillId="0" borderId="30" xfId="2" applyBorder="1" applyAlignment="1">
      <alignment vertical="center"/>
    </xf>
    <xf numFmtId="0" fontId="3" fillId="0" borderId="33" xfId="0" applyFont="1" applyBorder="1" applyAlignment="1">
      <alignment vertical="center"/>
    </xf>
    <xf numFmtId="2" fontId="0" fillId="0" borderId="27" xfId="0" applyNumberFormat="1" applyBorder="1" applyAlignment="1">
      <alignment vertical="center"/>
    </xf>
    <xf numFmtId="167" fontId="0" fillId="0" borderId="27" xfId="0" applyNumberForma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28" xfId="0" applyBorder="1" applyAlignment="1">
      <alignment vertical="center"/>
    </xf>
    <xf numFmtId="165" fontId="0" fillId="0" borderId="29" xfId="1" applyNumberFormat="1" applyFont="1" applyBorder="1"/>
    <xf numFmtId="165" fontId="0" fillId="0" borderId="30" xfId="1" applyNumberFormat="1" applyFont="1" applyBorder="1"/>
    <xf numFmtId="165" fontId="0" fillId="0" borderId="27" xfId="1" applyNumberFormat="1" applyFont="1" applyBorder="1"/>
    <xf numFmtId="165" fontId="0" fillId="0" borderId="19" xfId="1" applyNumberFormat="1" applyFont="1" applyBorder="1"/>
    <xf numFmtId="0" fontId="0" fillId="0" borderId="45" xfId="0" applyBorder="1"/>
    <xf numFmtId="0" fontId="0" fillId="0" borderId="46" xfId="0" applyBorder="1"/>
    <xf numFmtId="165" fontId="0" fillId="0" borderId="26" xfId="1" applyNumberFormat="1" applyFont="1" applyBorder="1"/>
    <xf numFmtId="0" fontId="0" fillId="7" borderId="2" xfId="0" applyFill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2" fillId="7" borderId="11" xfId="0" applyNumberFormat="1" applyFont="1" applyFill="1" applyBorder="1"/>
    <xf numFmtId="0" fontId="0" fillId="4" borderId="1" xfId="0" applyFill="1" applyBorder="1"/>
    <xf numFmtId="0" fontId="0" fillId="4" borderId="6" xfId="0" applyFill="1" applyBorder="1"/>
    <xf numFmtId="0" fontId="15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4" fontId="0" fillId="0" borderId="0" xfId="0" quotePrefix="1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quotePrefix="1"/>
    <xf numFmtId="2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_-[$£-809]* #,##0.00_-;\-[$£-809]* #,##0.00_-;_-[$£-809]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7" formatCode="_-[$£-809]* #,##0.00_-;\-[$£-809]* #,##0.00_-;_-[$£-809]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0.0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000"/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Health</a:t>
            </a:r>
            <a:r>
              <a:rPr lang="en-GB" sz="1400" baseline="0"/>
              <a:t> state occupancy -  </a:t>
            </a:r>
            <a:r>
              <a:rPr lang="en-GB" sz="1400"/>
              <a:t>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0"/>
          <c:tx>
            <c:strRef>
              <c:f>'5_Markov_SC'!$E$5</c:f>
              <c:strCache>
                <c:ptCount val="1"/>
                <c:pt idx="0">
                  <c:v>S1_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'5_Markov_SC'!$E$6:$E$36</c:f>
              <c:numCache>
                <c:formatCode>General</c:formatCode>
                <c:ptCount val="31"/>
                <c:pt idx="0">
                  <c:v>1000</c:v>
                </c:pt>
                <c:pt idx="1">
                  <c:v>867.84470701645489</c:v>
                </c:pt>
                <c:pt idx="2">
                  <c:v>753.15443549647648</c:v>
                </c:pt>
                <c:pt idx="3">
                  <c:v>653.62109041158305</c:v>
                </c:pt>
                <c:pt idx="4">
                  <c:v>567.2416037080161</c:v>
                </c:pt>
                <c:pt idx="5">
                  <c:v>492.27762337752722</c:v>
                </c:pt>
                <c:pt idx="6">
                  <c:v>427.22052983082682</c:v>
                </c:pt>
                <c:pt idx="7">
                  <c:v>370.76107554244851</c:v>
                </c:pt>
                <c:pt idx="8">
                  <c:v>321.76303697724194</c:v>
                </c:pt>
                <c:pt idx="9">
                  <c:v>279.24034855423929</c:v>
                </c:pt>
                <c:pt idx="10">
                  <c:v>242.33725847822654</c:v>
                </c:pt>
                <c:pt idx="11">
                  <c:v>210.31110708320742</c:v>
                </c:pt>
                <c:pt idx="12">
                  <c:v>182.5173811089324</c:v>
                </c:pt>
                <c:pt idx="13">
                  <c:v>158.39674313389207</c:v>
                </c:pt>
                <c:pt idx="14">
                  <c:v>137.46377513739324</c:v>
                </c:pt>
                <c:pt idx="15">
                  <c:v>119.29720965948687</c:v>
                </c:pt>
                <c:pt idx="16">
                  <c:v>103.53145196481798</c:v>
                </c:pt>
                <c:pt idx="17">
                  <c:v>89.849222597395624</c:v>
                </c:pt>
                <c:pt idx="18">
                  <c:v>77.975172260693043</c:v>
                </c:pt>
                <c:pt idx="19">
                  <c:v>67.670340525138755</c:v>
                </c:pt>
                <c:pt idx="20">
                  <c:v>58.727346846742776</c:v>
                </c:pt>
                <c:pt idx="21">
                  <c:v>50.966217118065209</c:v>
                </c:pt>
                <c:pt idx="22">
                  <c:v>44.230761762564327</c:v>
                </c:pt>
                <c:pt idx="23">
                  <c:v>38.385432482947252</c:v>
                </c:pt>
                <c:pt idx="24">
                  <c:v>33.312594406863269</c:v>
                </c:pt>
                <c:pt idx="25">
                  <c:v>28.910158732982246</c:v>
                </c:pt>
                <c:pt idx="26">
                  <c:v>25.089528235424183</c:v>
                </c:pt>
                <c:pt idx="27">
                  <c:v>21.773814280652772</c:v>
                </c:pt>
                <c:pt idx="28">
                  <c:v>18.896289475023806</c:v>
                </c:pt>
                <c:pt idx="29">
                  <c:v>16.399044803150154</c:v>
                </c:pt>
                <c:pt idx="30">
                  <c:v>14.231824232539562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3-4A94-ACB6-7B4DBE890703}"/>
            </c:ext>
          </c:extLst>
        </c:ser>
        <c:ser>
          <c:idx val="2"/>
          <c:order val="1"/>
          <c:tx>
            <c:strRef>
              <c:f>'5_Markov_SC'!$F$5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'5_Markov_SC'!$F$6:$F$36</c:f>
              <c:numCache>
                <c:formatCode>General</c:formatCode>
                <c:ptCount val="31"/>
                <c:pt idx="0">
                  <c:v>0</c:v>
                </c:pt>
                <c:pt idx="1">
                  <c:v>67.443879774658939</c:v>
                </c:pt>
                <c:pt idx="2">
                  <c:v>112.6825055408049</c:v>
                </c:pt>
                <c:pt idx="3">
                  <c:v>141.27011230360901</c:v>
                </c:pt>
                <c:pt idx="4">
                  <c:v>157.51061085038737</c:v>
                </c:pt>
                <c:pt idx="5">
                  <c:v>164.72458031064875</c:v>
                </c:pt>
                <c:pt idx="6">
                  <c:v>165.46092171736061</c:v>
                </c:pt>
                <c:pt idx="7">
                  <c:v>161.6644383592172</c:v>
                </c:pt>
                <c:pt idx="8">
                  <c:v>154.80834091103247</c:v>
                </c:pt>
                <c:pt idx="9">
                  <c:v>145.99886075206251</c:v>
                </c:pt>
                <c:pt idx="10">
                  <c:v>136.05770337681111</c:v>
                </c:pt>
                <c:pt idx="11">
                  <c:v>125.58691309387686</c:v>
                </c:pt>
                <c:pt idx="12">
                  <c:v>115.01979235945467</c:v>
                </c:pt>
                <c:pt idx="13">
                  <c:v>104.66077766790713</c:v>
                </c:pt>
                <c:pt idx="14">
                  <c:v>94.716581710416705</c:v>
                </c:pt>
                <c:pt idx="15">
                  <c:v>85.320438698249205</c:v>
                </c:pt>
                <c:pt idx="16">
                  <c:v>76.550912443954587</c:v>
                </c:pt>
                <c:pt idx="17">
                  <c:v>68.446425870578906</c:v>
                </c:pt>
                <c:pt idx="18">
                  <c:v>61.016430755473408</c:v>
                </c:pt>
                <c:pt idx="19">
                  <c:v>54.249945446019474</c:v>
                </c:pt>
                <c:pt idx="20">
                  <c:v>48.122036191957193</c:v>
                </c:pt>
                <c:pt idx="21">
                  <c:v>42.598696766887244</c:v>
                </c:pt>
                <c:pt idx="22">
                  <c:v>37.640484915158744</c:v>
                </c:pt>
                <c:pt idx="23">
                  <c:v>33.205197833645244</c:v>
                </c:pt>
                <c:pt idx="24">
                  <c:v>29.249808362661323</c:v>
                </c:pt>
                <c:pt idx="25">
                  <c:v>25.73183560529095</c:v>
                </c:pt>
                <c:pt idx="26">
                  <c:v>22.610285754443151</c:v>
                </c:pt>
                <c:pt idx="27">
                  <c:v>19.846268933697957</c:v>
                </c:pt>
                <c:pt idx="28">
                  <c:v>17.40337421667283</c:v>
                </c:pt>
                <c:pt idx="29">
                  <c:v>15.247866376181902</c:v>
                </c:pt>
                <c:pt idx="30">
                  <c:v>13.348753289255585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3-4A94-ACB6-7B4DBE890703}"/>
            </c:ext>
          </c:extLst>
        </c:ser>
        <c:ser>
          <c:idx val="3"/>
          <c:order val="2"/>
          <c:tx>
            <c:strRef>
              <c:f>'5_Markov_SC'!$G$5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'5_Markov_SC'!$G$6:$G$36</c:f>
              <c:numCache>
                <c:formatCode>General</c:formatCode>
                <c:ptCount val="31"/>
                <c:pt idx="0">
                  <c:v>0</c:v>
                </c:pt>
                <c:pt idx="1">
                  <c:v>14.327072733575807</c:v>
                </c:pt>
                <c:pt idx="2">
                  <c:v>30.722323770612</c:v>
                </c:pt>
                <c:pt idx="3">
                  <c:v>46.763520984599289</c:v>
                </c:pt>
                <c:pt idx="4">
                  <c:v>61.047927904647338</c:v>
                </c:pt>
                <c:pt idx="5">
                  <c:v>72.864109145148106</c:v>
                </c:pt>
                <c:pt idx="6">
                  <c:v>81.956453000628187</c:v>
                </c:pt>
                <c:pt idx="7">
                  <c:v>88.358171553330891</c:v>
                </c:pt>
                <c:pt idx="8">
                  <c:v>92.274560420188521</c:v>
                </c:pt>
                <c:pt idx="9">
                  <c:v>94.002878827746756</c:v>
                </c:pt>
                <c:pt idx="10">
                  <c:v>93.878682911062327</c:v>
                </c:pt>
                <c:pt idx="11">
                  <c:v>92.241070791102004</c:v>
                </c:pt>
                <c:pt idx="12">
                  <c:v>89.411277193195048</c:v>
                </c:pt>
                <c:pt idx="13">
                  <c:v>85.680542010969816</c:v>
                </c:pt>
                <c:pt idx="14">
                  <c:v>81.30428945040974</c:v>
                </c:pt>
                <c:pt idx="15">
                  <c:v>76.50048277103474</c:v>
                </c:pt>
                <c:pt idx="16">
                  <c:v>71.450633461701145</c:v>
                </c:pt>
                <c:pt idx="17">
                  <c:v>66.302395846388848</c:v>
                </c:pt>
                <c:pt idx="18">
                  <c:v>61.17300890892777</c:v>
                </c:pt>
                <c:pt idx="19">
                  <c:v>56.15308717904103</c:v>
                </c:pt>
                <c:pt idx="20">
                  <c:v>51.31043504523295</c:v>
                </c:pt>
                <c:pt idx="21">
                  <c:v>46.693681391321228</c:v>
                </c:pt>
                <c:pt idx="22">
                  <c:v>42.335617201768088</c:v>
                </c:pt>
                <c:pt idx="23">
                  <c:v>38.256177657866729</c:v>
                </c:pt>
                <c:pt idx="24">
                  <c:v>34.465049658418792</c:v>
                </c:pt>
                <c:pt idx="25">
                  <c:v>30.963911152654163</c:v>
                </c:pt>
                <c:pt idx="26">
                  <c:v>27.748324243683324</c:v>
                </c:pt>
                <c:pt idx="27">
                  <c:v>24.809312702034617</c:v>
                </c:pt>
                <c:pt idx="28">
                  <c:v>22.134658505396363</c:v>
                </c:pt>
                <c:pt idx="29">
                  <c:v>19.709952872416075</c:v>
                </c:pt>
                <c:pt idx="30">
                  <c:v>17.519436115730439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3-4A94-ACB6-7B4DBE890703}"/>
            </c:ext>
          </c:extLst>
        </c:ser>
        <c:ser>
          <c:idx val="4"/>
          <c:order val="3"/>
          <c:tx>
            <c:strRef>
              <c:f>'5_Markov_SC'!$H$5</c:f>
              <c:strCache>
                <c:ptCount val="1"/>
                <c:pt idx="0">
                  <c:v>Dead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val>
            <c:numRef>
              <c:f>'5_Markov_SC'!$H$6:$H$36</c:f>
              <c:numCache>
                <c:formatCode>General</c:formatCode>
                <c:ptCount val="31"/>
                <c:pt idx="0">
                  <c:v>0</c:v>
                </c:pt>
                <c:pt idx="1">
                  <c:v>50.384340475310374</c:v>
                </c:pt>
                <c:pt idx="2">
                  <c:v>103.44073519210669</c:v>
                </c:pt>
                <c:pt idx="3">
                  <c:v>158.34527630020867</c:v>
                </c:pt>
                <c:pt idx="4">
                  <c:v>214.19985753694925</c:v>
                </c:pt>
                <c:pt idx="5">
                  <c:v>270.13368716667594</c:v>
                </c:pt>
                <c:pt idx="6">
                  <c:v>325.36209545118436</c:v>
                </c:pt>
                <c:pt idx="7">
                  <c:v>379.21631454500334</c:v>
                </c:pt>
                <c:pt idx="8">
                  <c:v>431.15406169153704</c:v>
                </c:pt>
                <c:pt idx="9">
                  <c:v>480.75791186595143</c:v>
                </c:pt>
                <c:pt idx="10">
                  <c:v>527.72635523389999</c:v>
                </c:pt>
                <c:pt idx="11">
                  <c:v>571.86090903181366</c:v>
                </c:pt>
                <c:pt idx="12">
                  <c:v>613.05154933841777</c:v>
                </c:pt>
                <c:pt idx="13">
                  <c:v>651.26193718723084</c:v>
                </c:pt>
                <c:pt idx="14">
                  <c:v>686.51535370178021</c:v>
                </c:pt>
                <c:pt idx="15">
                  <c:v>718.88186887122902</c:v>
                </c:pt>
                <c:pt idx="16">
                  <c:v>748.46700212952612</c:v>
                </c:pt>
                <c:pt idx="17">
                  <c:v>775.40195568563649</c:v>
                </c:pt>
                <c:pt idx="18">
                  <c:v>799.83538807490561</c:v>
                </c:pt>
                <c:pt idx="19">
                  <c:v>821.92662684980053</c:v>
                </c:pt>
                <c:pt idx="20">
                  <c:v>841.84018191606685</c:v>
                </c:pt>
                <c:pt idx="21">
                  <c:v>859.74140472372608</c:v>
                </c:pt>
                <c:pt idx="22">
                  <c:v>875.79313612050862</c:v>
                </c:pt>
                <c:pt idx="23">
                  <c:v>890.15319202554053</c:v>
                </c:pt>
                <c:pt idx="24">
                  <c:v>902.97254757205633</c:v>
                </c:pt>
                <c:pt idx="25">
                  <c:v>914.39409450907237</c:v>
                </c:pt>
                <c:pt idx="26">
                  <c:v>924.55186176644906</c:v>
                </c:pt>
                <c:pt idx="27">
                  <c:v>933.5706040836144</c:v>
                </c:pt>
                <c:pt idx="28">
                  <c:v>941.56567780290675</c:v>
                </c:pt>
                <c:pt idx="29">
                  <c:v>948.6431359482516</c:v>
                </c:pt>
                <c:pt idx="30">
                  <c:v>954.89998636247412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A3-4A94-ACB6-7B4DBE890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91343"/>
        <c:axId val="1720892623"/>
      </c:areaChart>
      <c:catAx>
        <c:axId val="1561913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92623"/>
        <c:crosses val="autoZero"/>
        <c:auto val="1"/>
        <c:lblAlgn val="ctr"/>
        <c:lblOffset val="100"/>
        <c:noMultiLvlLbl val="0"/>
      </c:catAx>
      <c:valAx>
        <c:axId val="17208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Health state occupancy -  EVE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0"/>
          <c:tx>
            <c:strRef>
              <c:f>'6_Markov_EVE'!$E$5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'6_Markov_EVE'!$E$6:$E$36</c:f>
              <c:numCache>
                <c:formatCode>General</c:formatCode>
                <c:ptCount val="31"/>
                <c:pt idx="0">
                  <c:v>1000</c:v>
                </c:pt>
                <c:pt idx="1">
                  <c:v>894.32734504468999</c:v>
                </c:pt>
                <c:pt idx="2">
                  <c:v>799.82140009468401</c:v>
                </c:pt>
                <c:pt idx="3">
                  <c:v>715.3021492566055</c:v>
                </c:pt>
                <c:pt idx="4">
                  <c:v>639.71427204942063</c:v>
                </c:pt>
                <c:pt idx="5">
                  <c:v>572.11396650915492</c:v>
                </c:pt>
                <c:pt idx="6">
                  <c:v>511.65716473111922</c:v>
                </c:pt>
                <c:pt idx="7">
                  <c:v>457.58899370707547</c:v>
                </c:pt>
                <c:pt idx="8">
                  <c:v>409.23434986372018</c:v>
                </c:pt>
                <c:pt idx="9">
                  <c:v>365.98946961471069</c:v>
                </c:pt>
                <c:pt idx="10">
                  <c:v>327.31439067483848</c:v>
                </c:pt>
                <c:pt idx="11">
                  <c:v>292.72621000714872</c:v>
                </c:pt>
                <c:pt idx="12">
                  <c:v>261.79305422068768</c:v>
                </c:pt>
                <c:pt idx="13">
                  <c:v>234.1286871323282</c:v>
                </c:pt>
                <c:pt idx="14">
                  <c:v>209.38768716185396</c:v>
                </c:pt>
                <c:pt idx="15">
                  <c:v>187.26113434450897</c:v>
                </c:pt>
                <c:pt idx="16">
                  <c:v>167.47275310838174</c:v>
                </c:pt>
                <c:pt idx="17">
                  <c:v>149.7754626547439</c:v>
                </c:pt>
                <c:pt idx="18">
                  <c:v>133.94829186885724</c:v>
                </c:pt>
                <c:pt idx="19">
                  <c:v>119.79362024034634</c:v>
                </c:pt>
                <c:pt idx="20">
                  <c:v>107.13471034284079</c:v>
                </c:pt>
                <c:pt idx="21">
                  <c:v>95.813501063044697</c:v>
                </c:pt>
                <c:pt idx="22">
                  <c:v>85.688634025149355</c:v>
                </c:pt>
                <c:pt idx="23">
                  <c:v>76.63368856821792</c:v>
                </c:pt>
                <c:pt idx="24">
                  <c:v>68.535603238195947</c:v>
                </c:pt>
                <c:pt idx="25">
                  <c:v>61.293264085052044</c:v>
                </c:pt>
                <c:pt idx="26">
                  <c:v>54.816242138307643</c:v>
                </c:pt>
                <c:pt idx="27">
                  <c:v>49.023664296879538</c:v>
                </c:pt>
                <c:pt idx="28">
                  <c:v>43.843203534990437</c:v>
                </c:pt>
                <c:pt idx="29">
                  <c:v>39.210175815701966</c:v>
                </c:pt>
                <c:pt idx="30">
                  <c:v>35.06673243599225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F-4DEE-BA4C-0B4EB1BC82BD}"/>
            </c:ext>
          </c:extLst>
        </c:ser>
        <c:ser>
          <c:idx val="2"/>
          <c:order val="1"/>
          <c:tx>
            <c:strRef>
              <c:f>'6_Markov_EVE'!$F$5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'6_Markov_EVE'!$F$6:$F$36</c:f>
              <c:numCache>
                <c:formatCode>General</c:formatCode>
                <c:ptCount val="31"/>
                <c:pt idx="0">
                  <c:v>0</c:v>
                </c:pt>
                <c:pt idx="1">
                  <c:v>45.60125962036598</c:v>
                </c:pt>
                <c:pt idx="2">
                  <c:v>77.396381193951939</c:v>
                </c:pt>
                <c:pt idx="3">
                  <c:v>98.615565787115315</c:v>
                </c:pt>
                <c:pt idx="4">
                  <c:v>111.79857953809315</c:v>
                </c:pt>
                <c:pt idx="5">
                  <c:v>118.9365144080714</c:v>
                </c:pt>
                <c:pt idx="6">
                  <c:v>121.58500910791503</c:v>
                </c:pt>
                <c:pt idx="7">
                  <c:v>120.95461847351312</c:v>
                </c:pt>
                <c:pt idx="8">
                  <c:v>117.98289177858058</c:v>
                </c:pt>
                <c:pt idx="9">
                  <c:v>113.39181566821742</c:v>
                </c:pt>
                <c:pt idx="10">
                  <c:v>107.73355154886197</c:v>
                </c:pt>
                <c:pt idx="11">
                  <c:v>101.42681504353172</c:v>
                </c:pt>
                <c:pt idx="12">
                  <c:v>94.785778149944278</c:v>
                </c:pt>
                <c:pt idx="13">
                  <c:v>88.043000254517054</c:v>
                </c:pt>
                <c:pt idx="14">
                  <c:v>81.367593881667361</c:v>
                </c:pt>
                <c:pt idx="15">
                  <c:v>74.879590326516876</c:v>
                </c:pt>
                <c:pt idx="16">
                  <c:v>68.661277356813216</c:v>
                </c:pt>
                <c:pt idx="17">
                  <c:v>62.766126527763632</c:v>
                </c:pt>
                <c:pt idx="18">
                  <c:v>57.225803748530907</c:v>
                </c:pt>
                <c:pt idx="19">
                  <c:v>52.055657486106526</c:v>
                </c:pt>
                <c:pt idx="20">
                  <c:v>47.258999508099905</c:v>
                </c:pt>
                <c:pt idx="21">
                  <c:v>42.830429432583131</c:v>
                </c:pt>
                <c:pt idx="22">
                  <c:v>38.7584034269398</c:v>
                </c:pt>
                <c:pt idx="23">
                  <c:v>35.02720665673921</c:v>
                </c:pt>
                <c:pt idx="24">
                  <c:v>31.618456506940017</c:v>
                </c:pt>
                <c:pt idx="25">
                  <c:v>28.512237558539102</c:v>
                </c:pt>
                <c:pt idx="26">
                  <c:v>25.687948502729313</c:v>
                </c:pt>
                <c:pt idx="27">
                  <c:v>23.124924568132759</c:v>
                </c:pt>
                <c:pt idx="28">
                  <c:v>20.802885788013356</c:v>
                </c:pt>
                <c:pt idx="29">
                  <c:v>18.702250872788454</c:v>
                </c:pt>
                <c:pt idx="30">
                  <c:v>16.8043480410436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F-4DEE-BA4C-0B4EB1BC82BD}"/>
            </c:ext>
          </c:extLst>
        </c:ser>
        <c:ser>
          <c:idx val="3"/>
          <c:order val="2"/>
          <c:tx>
            <c:strRef>
              <c:f>'6_Markov_EVE'!$G$5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'6_Markov_EVE'!$G$6:$G$36</c:f>
              <c:numCache>
                <c:formatCode>General</c:formatCode>
                <c:ptCount val="31"/>
                <c:pt idx="0">
                  <c:v>0</c:v>
                </c:pt>
                <c:pt idx="1">
                  <c:v>9.6870548596336405</c:v>
                </c:pt>
                <c:pt idx="2">
                  <c:v>21.029019044127942</c:v>
                </c:pt>
                <c:pt idx="3">
                  <c:v>32.398056740233223</c:v>
                </c:pt>
                <c:pt idx="4">
                  <c:v>42.811229402443644</c:v>
                </c:pt>
                <c:pt idx="5">
                  <c:v>51.731540496714757</c:v>
                </c:pt>
                <c:pt idx="6">
                  <c:v>58.923367995666467</c:v>
                </c:pt>
                <c:pt idx="7">
                  <c:v>64.348432758929789</c:v>
                </c:pt>
                <c:pt idx="8">
                  <c:v>68.091820305497663</c:v>
                </c:pt>
                <c:pt idx="9">
                  <c:v>70.31014907195717</c:v>
                </c:pt>
                <c:pt idx="10">
                  <c:v>71.195942739305536</c:v>
                </c:pt>
                <c:pt idx="11">
                  <c:v>70.953758983691174</c:v>
                </c:pt>
                <c:pt idx="12">
                  <c:v>69.784761349502858</c:v>
                </c:pt>
                <c:pt idx="13">
                  <c:v>67.877279227514862</c:v>
                </c:pt>
                <c:pt idx="14">
                  <c:v>65.401548193438757</c:v>
                </c:pt>
                <c:pt idx="15">
                  <c:v>62.50730929934236</c:v>
                </c:pt>
                <c:pt idx="16">
                  <c:v>59.323309801988358</c:v>
                </c:pt>
                <c:pt idx="17">
                  <c:v>55.958018792304102</c:v>
                </c:pt>
                <c:pt idx="18">
                  <c:v>52.501071878916299</c:v>
                </c:pt>
                <c:pt idx="19">
                  <c:v>49.025106765436178</c:v>
                </c:pt>
                <c:pt idx="20">
                  <c:v>45.587759431780732</c:v>
                </c:pt>
                <c:pt idx="21">
                  <c:v>42.233668715921283</c:v>
                </c:pt>
                <c:pt idx="22">
                  <c:v>38.996393005504991</c:v>
                </c:pt>
                <c:pt idx="23">
                  <c:v>35.900182246645464</c:v>
                </c:pt>
                <c:pt idx="24">
                  <c:v>32.961575900919776</c:v>
                </c:pt>
                <c:pt idx="25">
                  <c:v>30.190816091883622</c:v>
                </c:pt>
                <c:pt idx="26">
                  <c:v>27.593077417900599</c:v>
                </c:pt>
                <c:pt idx="27">
                  <c:v>25.169522583824673</c:v>
                </c:pt>
                <c:pt idx="28">
                  <c:v>22.918197463400894</c:v>
                </c:pt>
                <c:pt idx="29">
                  <c:v>20.834781434858041</c:v>
                </c:pt>
                <c:pt idx="30">
                  <c:v>18.91320955467404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F-4DEE-BA4C-0B4EB1BC82BD}"/>
            </c:ext>
          </c:extLst>
        </c:ser>
        <c:ser>
          <c:idx val="4"/>
          <c:order val="3"/>
          <c:tx>
            <c:strRef>
              <c:f>'6_Markov_EVE'!$H$5</c:f>
              <c:strCache>
                <c:ptCount val="1"/>
                <c:pt idx="0">
                  <c:v>Dead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val>
            <c:numRef>
              <c:f>'6_Markov_EVE'!$H$6:$H$36</c:f>
              <c:numCache>
                <c:formatCode>General</c:formatCode>
                <c:ptCount val="31"/>
                <c:pt idx="0">
                  <c:v>0</c:v>
                </c:pt>
                <c:pt idx="1">
                  <c:v>50.384340475310374</c:v>
                </c:pt>
                <c:pt idx="2">
                  <c:v>101.75319966723609</c:v>
                </c:pt>
                <c:pt idx="3">
                  <c:v>153.68422821604591</c:v>
                </c:pt>
                <c:pt idx="4">
                  <c:v>205.67591901004255</c:v>
                </c:pt>
                <c:pt idx="5">
                  <c:v>257.2179785860589</c:v>
                </c:pt>
                <c:pt idx="6">
                  <c:v>307.83445816529928</c:v>
                </c:pt>
                <c:pt idx="7">
                  <c:v>357.10795506048163</c:v>
                </c:pt>
                <c:pt idx="8">
                  <c:v>404.6909380522016</c:v>
                </c:pt>
                <c:pt idx="9">
                  <c:v>450.30856564511475</c:v>
                </c:pt>
                <c:pt idx="10">
                  <c:v>493.75611503699406</c:v>
                </c:pt>
                <c:pt idx="11">
                  <c:v>534.89321596562843</c:v>
                </c:pt>
                <c:pt idx="12">
                  <c:v>573.63640627986524</c:v>
                </c:pt>
                <c:pt idx="13">
                  <c:v>609.9510333856399</c:v>
                </c:pt>
                <c:pt idx="14">
                  <c:v>643.84317076303989</c:v>
                </c:pt>
                <c:pt idx="15">
                  <c:v>675.35196602963174</c:v>
                </c:pt>
                <c:pt idx="16">
                  <c:v>704.54265973281667</c:v>
                </c:pt>
                <c:pt idx="17">
                  <c:v>731.50039202518838</c:v>
                </c:pt>
                <c:pt idx="18">
                  <c:v>756.32483250369557</c:v>
                </c:pt>
                <c:pt idx="19">
                  <c:v>779.12561550811097</c:v>
                </c:pt>
                <c:pt idx="20">
                  <c:v>800.01853071727862</c:v>
                </c:pt>
                <c:pt idx="21">
                  <c:v>819.12240078845093</c:v>
                </c:pt>
                <c:pt idx="22">
                  <c:v>836.5565695424059</c:v>
                </c:pt>
                <c:pt idx="23">
                  <c:v>852.43892252839748</c:v>
                </c:pt>
                <c:pt idx="24">
                  <c:v>866.88436435394431</c:v>
                </c:pt>
                <c:pt idx="25">
                  <c:v>880.00368226452531</c:v>
                </c:pt>
                <c:pt idx="26">
                  <c:v>891.90273194106248</c:v>
                </c:pt>
                <c:pt idx="27">
                  <c:v>902.68188855116307</c:v>
                </c:pt>
                <c:pt idx="28">
                  <c:v>912.43571321359536</c:v>
                </c:pt>
                <c:pt idx="29">
                  <c:v>921.2527918766516</c:v>
                </c:pt>
                <c:pt idx="30">
                  <c:v>929.21570996829018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BF-4DEE-BA4C-0B4EB1BC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91343"/>
        <c:axId val="1720892623"/>
      </c:areaChart>
      <c:catAx>
        <c:axId val="1561913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92623"/>
        <c:crosses val="autoZero"/>
        <c:auto val="1"/>
        <c:lblAlgn val="ctr"/>
        <c:lblOffset val="100"/>
        <c:noMultiLvlLbl val="0"/>
      </c:catAx>
      <c:valAx>
        <c:axId val="17208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1343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CAV-free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Azathioprine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'5_Markov_SC'!$E$6:$E$36</c:f>
              <c:numCache>
                <c:formatCode>General</c:formatCode>
                <c:ptCount val="31"/>
                <c:pt idx="0">
                  <c:v>1000</c:v>
                </c:pt>
                <c:pt idx="1">
                  <c:v>867.84470701645489</c:v>
                </c:pt>
                <c:pt idx="2">
                  <c:v>753.15443549647648</c:v>
                </c:pt>
                <c:pt idx="3">
                  <c:v>653.62109041158305</c:v>
                </c:pt>
                <c:pt idx="4">
                  <c:v>567.2416037080161</c:v>
                </c:pt>
                <c:pt idx="5">
                  <c:v>492.27762337752722</c:v>
                </c:pt>
                <c:pt idx="6">
                  <c:v>427.22052983082682</c:v>
                </c:pt>
                <c:pt idx="7">
                  <c:v>370.76107554244851</c:v>
                </c:pt>
                <c:pt idx="8">
                  <c:v>321.76303697724194</c:v>
                </c:pt>
                <c:pt idx="9">
                  <c:v>279.24034855423929</c:v>
                </c:pt>
                <c:pt idx="10">
                  <c:v>242.33725847822654</c:v>
                </c:pt>
                <c:pt idx="11">
                  <c:v>210.31110708320742</c:v>
                </c:pt>
                <c:pt idx="12">
                  <c:v>182.5173811089324</c:v>
                </c:pt>
                <c:pt idx="13">
                  <c:v>158.39674313389207</c:v>
                </c:pt>
                <c:pt idx="14">
                  <c:v>137.46377513739324</c:v>
                </c:pt>
                <c:pt idx="15">
                  <c:v>119.29720965948687</c:v>
                </c:pt>
                <c:pt idx="16">
                  <c:v>103.53145196481798</c:v>
                </c:pt>
                <c:pt idx="17">
                  <c:v>89.849222597395624</c:v>
                </c:pt>
                <c:pt idx="18">
                  <c:v>77.975172260693043</c:v>
                </c:pt>
                <c:pt idx="19">
                  <c:v>67.670340525138755</c:v>
                </c:pt>
                <c:pt idx="20">
                  <c:v>58.727346846742776</c:v>
                </c:pt>
                <c:pt idx="21">
                  <c:v>50.966217118065209</c:v>
                </c:pt>
                <c:pt idx="22">
                  <c:v>44.230761762564327</c:v>
                </c:pt>
                <c:pt idx="23">
                  <c:v>38.385432482947252</c:v>
                </c:pt>
                <c:pt idx="24">
                  <c:v>33.312594406863269</c:v>
                </c:pt>
                <c:pt idx="25">
                  <c:v>28.910158732982246</c:v>
                </c:pt>
                <c:pt idx="26">
                  <c:v>25.089528235424183</c:v>
                </c:pt>
                <c:pt idx="27">
                  <c:v>21.773814280652772</c:v>
                </c:pt>
                <c:pt idx="28">
                  <c:v>18.896289475023806</c:v>
                </c:pt>
                <c:pt idx="29">
                  <c:v>16.399044803150154</c:v>
                </c:pt>
                <c:pt idx="30">
                  <c:v>14.231824232539562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9E-4283-8456-358EFC02C71A}"/>
            </c:ext>
          </c:extLst>
        </c:ser>
        <c:ser>
          <c:idx val="1"/>
          <c:order val="1"/>
          <c:tx>
            <c:v>Everolimus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'6_Markov_EVE'!$E$6:$E$36</c:f>
              <c:numCache>
                <c:formatCode>General</c:formatCode>
                <c:ptCount val="31"/>
                <c:pt idx="0">
                  <c:v>1000</c:v>
                </c:pt>
                <c:pt idx="1">
                  <c:v>894.32734504468999</c:v>
                </c:pt>
                <c:pt idx="2">
                  <c:v>799.82140009468401</c:v>
                </c:pt>
                <c:pt idx="3">
                  <c:v>715.3021492566055</c:v>
                </c:pt>
                <c:pt idx="4">
                  <c:v>639.71427204942063</c:v>
                </c:pt>
                <c:pt idx="5">
                  <c:v>572.11396650915492</c:v>
                </c:pt>
                <c:pt idx="6">
                  <c:v>511.65716473111922</c:v>
                </c:pt>
                <c:pt idx="7">
                  <c:v>457.58899370707547</c:v>
                </c:pt>
                <c:pt idx="8">
                  <c:v>409.23434986372018</c:v>
                </c:pt>
                <c:pt idx="9">
                  <c:v>365.98946961471069</c:v>
                </c:pt>
                <c:pt idx="10">
                  <c:v>327.31439067483848</c:v>
                </c:pt>
                <c:pt idx="11">
                  <c:v>292.72621000714872</c:v>
                </c:pt>
                <c:pt idx="12">
                  <c:v>261.79305422068768</c:v>
                </c:pt>
                <c:pt idx="13">
                  <c:v>234.1286871323282</c:v>
                </c:pt>
                <c:pt idx="14">
                  <c:v>209.38768716185396</c:v>
                </c:pt>
                <c:pt idx="15">
                  <c:v>187.26113434450897</c:v>
                </c:pt>
                <c:pt idx="16">
                  <c:v>167.47275310838174</c:v>
                </c:pt>
                <c:pt idx="17">
                  <c:v>149.7754626547439</c:v>
                </c:pt>
                <c:pt idx="18">
                  <c:v>133.94829186885724</c:v>
                </c:pt>
                <c:pt idx="19">
                  <c:v>119.79362024034634</c:v>
                </c:pt>
                <c:pt idx="20">
                  <c:v>107.13471034284079</c:v>
                </c:pt>
                <c:pt idx="21">
                  <c:v>95.813501063044697</c:v>
                </c:pt>
                <c:pt idx="22">
                  <c:v>85.688634025149355</c:v>
                </c:pt>
                <c:pt idx="23">
                  <c:v>76.63368856821792</c:v>
                </c:pt>
                <c:pt idx="24">
                  <c:v>68.535603238195947</c:v>
                </c:pt>
                <c:pt idx="25">
                  <c:v>61.293264085052044</c:v>
                </c:pt>
                <c:pt idx="26">
                  <c:v>54.816242138307643</c:v>
                </c:pt>
                <c:pt idx="27">
                  <c:v>49.023664296879538</c:v>
                </c:pt>
                <c:pt idx="28">
                  <c:v>43.843203534990437</c:v>
                </c:pt>
                <c:pt idx="29">
                  <c:v>39.210175815701966</c:v>
                </c:pt>
                <c:pt idx="30">
                  <c:v>35.06673243599225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9E-4283-8456-358EFC02C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58559"/>
        <c:axId val="1720917103"/>
      </c:lineChart>
      <c:catAx>
        <c:axId val="5175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17103"/>
        <c:crosses val="autoZero"/>
        <c:auto val="1"/>
        <c:lblAlgn val="ctr"/>
        <c:lblOffset val="100"/>
        <c:noMultiLvlLbl val="0"/>
      </c:catAx>
      <c:valAx>
        <c:axId val="17209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Alive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Azathioprine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'5_Markov_SC'!$J$6:$J$36</c:f>
              <c:numCache>
                <c:formatCode>General</c:formatCode>
                <c:ptCount val="31"/>
                <c:pt idx="0">
                  <c:v>1000</c:v>
                </c:pt>
                <c:pt idx="1">
                  <c:v>949.6156595246897</c:v>
                </c:pt>
                <c:pt idx="2">
                  <c:v>896.55926480789333</c:v>
                </c:pt>
                <c:pt idx="3">
                  <c:v>841.65472369979136</c:v>
                </c:pt>
                <c:pt idx="4">
                  <c:v>785.80014246305086</c:v>
                </c:pt>
                <c:pt idx="5">
                  <c:v>729.86631283332406</c:v>
                </c:pt>
                <c:pt idx="6">
                  <c:v>674.63790454881564</c:v>
                </c:pt>
                <c:pt idx="7">
                  <c:v>620.78368545499654</c:v>
                </c:pt>
                <c:pt idx="8">
                  <c:v>568.84593830846291</c:v>
                </c:pt>
                <c:pt idx="9">
                  <c:v>519.24208813404857</c:v>
                </c:pt>
                <c:pt idx="10">
                  <c:v>472.27364476610001</c:v>
                </c:pt>
                <c:pt idx="11">
                  <c:v>428.13909096818628</c:v>
                </c:pt>
                <c:pt idx="12">
                  <c:v>386.94845066158211</c:v>
                </c:pt>
                <c:pt idx="13">
                  <c:v>348.73806281276904</c:v>
                </c:pt>
                <c:pt idx="14">
                  <c:v>313.48464629821967</c:v>
                </c:pt>
                <c:pt idx="15">
                  <c:v>281.11813112877081</c:v>
                </c:pt>
                <c:pt idx="16">
                  <c:v>251.53299787047371</c:v>
                </c:pt>
                <c:pt idx="17">
                  <c:v>224.59804431436339</c:v>
                </c:pt>
                <c:pt idx="18">
                  <c:v>200.16461192509422</c:v>
                </c:pt>
                <c:pt idx="19">
                  <c:v>178.07337315019925</c:v>
                </c:pt>
                <c:pt idx="20">
                  <c:v>158.15981808393292</c:v>
                </c:pt>
                <c:pt idx="21">
                  <c:v>140.2585952762737</c:v>
                </c:pt>
                <c:pt idx="22">
                  <c:v>124.20686387949115</c:v>
                </c:pt>
                <c:pt idx="23">
                  <c:v>109.84680797445922</c:v>
                </c:pt>
                <c:pt idx="24">
                  <c:v>97.027452427943388</c:v>
                </c:pt>
                <c:pt idx="25">
                  <c:v>85.605905490927356</c:v>
                </c:pt>
                <c:pt idx="26">
                  <c:v>75.448138233550665</c:v>
                </c:pt>
                <c:pt idx="27">
                  <c:v>66.429395916385346</c:v>
                </c:pt>
                <c:pt idx="28">
                  <c:v>58.434322197092996</c:v>
                </c:pt>
                <c:pt idx="29">
                  <c:v>51.356864051748133</c:v>
                </c:pt>
                <c:pt idx="30">
                  <c:v>45.100013637525592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3-4882-9F9B-4285A0AC96F5}"/>
            </c:ext>
          </c:extLst>
        </c:ser>
        <c:ser>
          <c:idx val="1"/>
          <c:order val="1"/>
          <c:tx>
            <c:v>Everolimus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'6_Markov_EVE'!$J$6:$J$36</c:f>
              <c:numCache>
                <c:formatCode>General</c:formatCode>
                <c:ptCount val="31"/>
                <c:pt idx="0">
                  <c:v>1000</c:v>
                </c:pt>
                <c:pt idx="1">
                  <c:v>949.6156595246897</c:v>
                </c:pt>
                <c:pt idx="2">
                  <c:v>898.24680033276388</c:v>
                </c:pt>
                <c:pt idx="3">
                  <c:v>846.31577178395401</c:v>
                </c:pt>
                <c:pt idx="4">
                  <c:v>794.32408098995734</c:v>
                </c:pt>
                <c:pt idx="5">
                  <c:v>742.78202141394104</c:v>
                </c:pt>
                <c:pt idx="6">
                  <c:v>692.16554183470066</c:v>
                </c:pt>
                <c:pt idx="7">
                  <c:v>642.89204493951843</c:v>
                </c:pt>
                <c:pt idx="8">
                  <c:v>595.30906194779845</c:v>
                </c:pt>
                <c:pt idx="9">
                  <c:v>549.69143435488525</c:v>
                </c:pt>
                <c:pt idx="10">
                  <c:v>506.24388496300594</c:v>
                </c:pt>
                <c:pt idx="11">
                  <c:v>465.10678403437157</c:v>
                </c:pt>
                <c:pt idx="12">
                  <c:v>426.36359372013482</c:v>
                </c:pt>
                <c:pt idx="13">
                  <c:v>390.0489666143601</c:v>
                </c:pt>
                <c:pt idx="14">
                  <c:v>356.15682923696011</c:v>
                </c:pt>
                <c:pt idx="15">
                  <c:v>324.6480339703682</c:v>
                </c:pt>
                <c:pt idx="16">
                  <c:v>295.45734026718333</c:v>
                </c:pt>
                <c:pt idx="17">
                  <c:v>268.49960797481162</c:v>
                </c:pt>
                <c:pt idx="18">
                  <c:v>243.67516749630445</c:v>
                </c:pt>
                <c:pt idx="19">
                  <c:v>220.87438449188903</c:v>
                </c:pt>
                <c:pt idx="20">
                  <c:v>199.98146928272143</c:v>
                </c:pt>
                <c:pt idx="21">
                  <c:v>180.87759921154912</c:v>
                </c:pt>
                <c:pt idx="22">
                  <c:v>163.44343045759413</c:v>
                </c:pt>
                <c:pt idx="23">
                  <c:v>147.5610774716026</c:v>
                </c:pt>
                <c:pt idx="24">
                  <c:v>133.11563564605575</c:v>
                </c:pt>
                <c:pt idx="25">
                  <c:v>119.99631773547476</c:v>
                </c:pt>
                <c:pt idx="26">
                  <c:v>108.09726805893756</c:v>
                </c:pt>
                <c:pt idx="27">
                  <c:v>97.318111448836973</c:v>
                </c:pt>
                <c:pt idx="28">
                  <c:v>87.564286786404693</c:v>
                </c:pt>
                <c:pt idx="29">
                  <c:v>78.747208123348457</c:v>
                </c:pt>
                <c:pt idx="30">
                  <c:v>70.784290031709887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3-4882-9F9B-4285A0AC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58559"/>
        <c:axId val="1720917103"/>
      </c:lineChart>
      <c:catAx>
        <c:axId val="5175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17103"/>
        <c:crosses val="autoZero"/>
        <c:auto val="1"/>
        <c:lblAlgn val="ctr"/>
        <c:lblOffset val="100"/>
        <c:noMultiLvlLbl val="0"/>
      </c:catAx>
      <c:valAx>
        <c:axId val="17209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One-way sensitivity analysis (base ICER £113,366)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'8_DSA'!$J$3</c:f>
              <c:strCache>
                <c:ptCount val="1"/>
                <c:pt idx="0">
                  <c:v>Low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'8_DSA'!$A$4:$A$12</c:f>
              <c:strCache>
                <c:ptCount val="9"/>
                <c:pt idx="0">
                  <c:v>PCI cost</c:v>
                </c:pt>
                <c:pt idx="1">
                  <c:v>Clinic visit cost</c:v>
                </c:pt>
                <c:pt idx="2">
                  <c:v>PCI share, state 3</c:v>
                </c:pt>
                <c:pt idx="3">
                  <c:v>Angiogram cost</c:v>
                </c:pt>
                <c:pt idx="4">
                  <c:v>Decrement, state 2</c:v>
                </c:pt>
                <c:pt idx="5">
                  <c:v>Decrement, state 3</c:v>
                </c:pt>
                <c:pt idx="6">
                  <c:v>Utility, no CAV</c:v>
                </c:pt>
                <c:pt idx="7">
                  <c:v>Discount rate</c:v>
                </c:pt>
                <c:pt idx="8">
                  <c:v>RR</c:v>
                </c:pt>
              </c:strCache>
            </c:strRef>
          </c:cat>
          <c:val>
            <c:numRef>
              <c:f>'8_DSA'!$J$4:$J$12</c:f>
              <c:numCache>
                <c:formatCode>0.00</c:formatCode>
                <c:ptCount val="9"/>
                <c:pt idx="0">
                  <c:v>36.603985056863166</c:v>
                </c:pt>
                <c:pt idx="1">
                  <c:v>-40.308822535575018</c:v>
                </c:pt>
                <c:pt idx="2">
                  <c:v>73.234845286278869</c:v>
                </c:pt>
                <c:pt idx="3">
                  <c:v>-486.05137999709405</c:v>
                </c:pt>
                <c:pt idx="4">
                  <c:v>2428.3170985106408</c:v>
                </c:pt>
                <c:pt idx="5">
                  <c:v>4762.0500416053401</c:v>
                </c:pt>
                <c:pt idx="6">
                  <c:v>6945.0272131055535</c:v>
                </c:pt>
                <c:pt idx="7">
                  <c:v>-24962.277784267426</c:v>
                </c:pt>
                <c:pt idx="8">
                  <c:v>-42589.509452929982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E-4E95-8238-1BEDA06C4BF6}"/>
            </c:ext>
          </c:extLst>
        </c:ser>
        <c:ser>
          <c:idx val="1"/>
          <c:order val="1"/>
          <c:tx>
            <c:strRef>
              <c:f>'8_DSA'!$K$3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'8_DSA'!$A$4:$A$12</c:f>
              <c:strCache>
                <c:ptCount val="9"/>
                <c:pt idx="0">
                  <c:v>PCI cost</c:v>
                </c:pt>
                <c:pt idx="1">
                  <c:v>Clinic visit cost</c:v>
                </c:pt>
                <c:pt idx="2">
                  <c:v>PCI share, state 3</c:v>
                </c:pt>
                <c:pt idx="3">
                  <c:v>Angiogram cost</c:v>
                </c:pt>
                <c:pt idx="4">
                  <c:v>Decrement, state 2</c:v>
                </c:pt>
                <c:pt idx="5">
                  <c:v>Decrement, state 3</c:v>
                </c:pt>
                <c:pt idx="6">
                  <c:v>Utility, no CAV</c:v>
                </c:pt>
                <c:pt idx="7">
                  <c:v>Discount rate</c:v>
                </c:pt>
                <c:pt idx="8">
                  <c:v>RR</c:v>
                </c:pt>
              </c:strCache>
            </c:strRef>
          </c:cat>
          <c:val>
            <c:numRef>
              <c:f>'8_DSA'!$K$4:$K$12</c:f>
              <c:numCache>
                <c:formatCode>0.00</c:formatCode>
                <c:ptCount val="9"/>
                <c:pt idx="0">
                  <c:v>-36.603985056863166</c:v>
                </c:pt>
                <c:pt idx="1">
                  <c:v>40.308822535531363</c:v>
                </c:pt>
                <c:pt idx="2">
                  <c:v>-292.93938114518824</c:v>
                </c:pt>
                <c:pt idx="3">
                  <c:v>486.05137999715225</c:v>
                </c:pt>
                <c:pt idx="4">
                  <c:v>-2328.5604708126048</c:v>
                </c:pt>
                <c:pt idx="5">
                  <c:v>-4392.9853090390534</c:v>
                </c:pt>
                <c:pt idx="6">
                  <c:v>-6186.9718377156532</c:v>
                </c:pt>
                <c:pt idx="7">
                  <c:v>21009.903846634363</c:v>
                </c:pt>
                <c:pt idx="8">
                  <c:v>271326.32764717052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E-4E95-8238-1BEDA06C4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977625616"/>
        <c:axId val="977620816"/>
      </c:barChart>
      <c:catAx>
        <c:axId val="97762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20816"/>
        <c:crosses val="autoZero"/>
        <c:auto val="1"/>
        <c:lblAlgn val="ctr"/>
        <c:lblOffset val="100"/>
        <c:noMultiLvlLbl val="0"/>
      </c:catAx>
      <c:valAx>
        <c:axId val="97762081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_ ;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57150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F50EB-6B4A-42E4-9E98-4D015DA89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19</xdr:row>
      <xdr:rowOff>9525</xdr:rowOff>
    </xdr:from>
    <xdr:to>
      <xdr:col>18</xdr:col>
      <xdr:colOff>419100</xdr:colOff>
      <xdr:row>43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6EEA5-26F0-429F-981E-27658DFFC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52385</xdr:rowOff>
    </xdr:from>
    <xdr:to>
      <xdr:col>7</xdr:col>
      <xdr:colOff>57149</xdr:colOff>
      <xdr:row>69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3CB4E-7444-A2D1-5931-28DE7EE16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44</xdr:row>
      <xdr:rowOff>38100</xdr:rowOff>
    </xdr:from>
    <xdr:to>
      <xdr:col>18</xdr:col>
      <xdr:colOff>419099</xdr:colOff>
      <xdr:row>68</xdr:row>
      <xdr:rowOff>185739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6B7146-7880-4D59-9538-C0A8592D1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12</xdr:row>
      <xdr:rowOff>100011</xdr:rowOff>
    </xdr:from>
    <xdr:to>
      <xdr:col>14</xdr:col>
      <xdr:colOff>466726</xdr:colOff>
      <xdr:row>38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A749A-9E19-0A0E-B901-6999201AF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9C9C9-5F75-45D1-883E-B69B5B1FD3C8}" name="ons_age" displayName="ons_age" ref="A24:C125" totalsRowShown="0" headerRowDxfId="81" headerRowBorderDxfId="80">
  <autoFilter ref="A24:C125" xr:uid="{8AD9C9C9-5F75-45D1-883E-B69B5B1FD3C8}"/>
  <tableColumns count="3">
    <tableColumn id="1" xr3:uid="{CF6D8649-4707-43F3-B1DE-D76C2AEED155}" name="age" dataDxfId="79"/>
    <tableColumn id="2" xr3:uid="{C332B811-D091-4888-91F6-F8B1655F8C68}" name="qx (Males)" dataDxfId="78"/>
    <tableColumn id="3" xr3:uid="{3090B158-72F7-4D13-AC2C-C73D24DB1F0E}" name="qx (Females)" dataDxfId="7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8E9D1-EA93-4F90-9D21-61D7CB052ED4}" name="qx_bg" displayName="qx_bg" ref="A52:E83" totalsRowShown="0" headerRowDxfId="76" tableBorderDxfId="75">
  <autoFilter ref="A52:E83" xr:uid="{FE88E9D1-EA93-4F90-9D21-61D7CB052ED4}"/>
  <tableColumns count="5">
    <tableColumn id="1" xr3:uid="{98240274-5C5D-4C7C-B834-9B50714D14EE}" name="Cycle" dataDxfId="74"/>
    <tableColumn id="2" xr3:uid="{7648ACB2-E922-4EF6-B0C6-D47410625F89}" name="Age" dataDxfId="73">
      <calculatedColumnFormula>ROUND(B52,0)+1</calculatedColumnFormula>
    </tableColumn>
    <tableColumn id="3" xr3:uid="{D185E62E-EF1B-4D81-8740-5D2EEFFFE560}" name="qx male" dataDxfId="72">
      <calculatedColumnFormula>_xlfn.XLOOKUP('3_Parameters'!$B53,'2_Data'!$A$25:$A$125,'2_Data'!$B$25:$B$125)</calculatedColumnFormula>
    </tableColumn>
    <tableColumn id="4" xr3:uid="{1F053779-1509-46D0-A43D-8433E2D81931}" name="qx female" dataDxfId="71">
      <calculatedColumnFormula>_xlfn.XLOOKUP('3_Parameters'!$B53,'2_Data'!$A$25:$A$125,'2_Data'!$C$25:$C$125)</calculatedColumnFormula>
    </tableColumn>
    <tableColumn id="5" xr3:uid="{EA4C56CE-B275-4425-BEB8-5ACFE4628FF6}" name="qx weighted" dataDxfId="70">
      <calculatedColumnFormula>(C53*share_male)+(D53*(1-share_male))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70C9E3-01E9-4060-8A93-0F9A487C4B24}" name="General_settings" displayName="General_settings" ref="A3:C13" totalsRowShown="0" headerRowDxfId="69" headerRowBorderDxfId="68" tableBorderDxfId="67" totalsRowBorderDxfId="66">
  <autoFilter ref="A3:C13" xr:uid="{6670C9E3-01E9-4060-8A93-0F9A487C4B24}"/>
  <tableColumns count="3">
    <tableColumn id="1" xr3:uid="{34CF1764-3CC9-4B42-9C8B-BE8189A1BE9C}" name="Parameter" dataDxfId="65"/>
    <tableColumn id="2" xr3:uid="{68FD62A5-7CC0-4B50-A175-4E6D06498054}" name="Value" dataDxfId="64"/>
    <tableColumn id="3" xr3:uid="{22A91B2C-22D5-4EBE-8B88-B75DE1C01D3D}" name="Source" dataDxfId="6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BE9306-CDE7-4628-BD9E-E333BA63B1B7}" name="Treatment_effect" displayName="Treatment_effect" ref="A17:C20" totalsRowShown="0" headerRowDxfId="62" headerRowBorderDxfId="61" tableBorderDxfId="60" totalsRowBorderDxfId="59">
  <autoFilter ref="A17:C20" xr:uid="{6BBE9306-CDE7-4628-BD9E-E333BA63B1B7}"/>
  <tableColumns count="3">
    <tableColumn id="1" xr3:uid="{871390EA-77B5-47A4-86A5-A9A93B33CF9C}" name="Description"/>
    <tableColumn id="2" xr3:uid="{64FF1F59-86C5-4BCD-B236-83A91B8F2982}" name="Value" dataDxfId="58"/>
    <tableColumn id="3" xr3:uid="{3697528A-AAB0-4225-A1DE-81DBE0804401}" name="Sourc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D20F14-A1D5-4AFC-A898-679DB7F8D633}" name="Drug_Costs" displayName="Drug_Costs" ref="A25:E27" totalsRowShown="0" headerRowDxfId="57" tableBorderDxfId="56">
  <autoFilter ref="A25:E27" xr:uid="{9BD20F14-A1D5-4AFC-A898-679DB7F8D633}"/>
  <tableColumns count="5">
    <tableColumn id="1" xr3:uid="{EC2A4FD9-B137-492B-B336-76A305D5EECA}" name="Drug" dataDxfId="55"/>
    <tableColumn id="2" xr3:uid="{144E6DF6-165B-4322-AF78-4196F55D0606}" name="Pack price"/>
    <tableColumn id="3" xr3:uid="{D93E7A3C-EAD4-4C99-9EE0-ED8CE23AB04E}" name="Dose (assumption)" dataDxfId="54"/>
    <tableColumn id="4" xr3:uid="{45E2205C-61B2-496E-A9B7-3DCF9A2BE014}" name="Annual cost" dataDxfId="53">
      <calculatedColumnFormula>(365/(56/3)* B26)</calculatedColumnFormula>
    </tableColumn>
    <tableColumn id="5" xr3:uid="{4873C920-8478-4AC5-91CD-991F52929A00}" name="source" dataDxfId="52" dataCellStyle="Hyperlink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DA0ECF-49FB-4F0F-8799-B14E21CB67FF}" name="Utilities" displayName="Utilities" ref="A32:C38" totalsRowShown="0" headerRowDxfId="51" headerRowBorderDxfId="50" tableBorderDxfId="49" totalsRowBorderDxfId="48">
  <autoFilter ref="A32:C38" xr:uid="{98DA0ECF-49FB-4F0F-8799-B14E21CB67FF}"/>
  <tableColumns count="3">
    <tableColumn id="1" xr3:uid="{49BF82D3-1791-4E52-8892-0D6E1E37B394}" name="State" dataDxfId="47"/>
    <tableColumn id="2" xr3:uid="{090CF53E-EF20-43D1-8913-762F2A89F3BE}" name="Value" dataDxfId="46"/>
    <tableColumn id="3" xr3:uid="{EE6BCBE7-3F31-4442-B234-B0E74B8AFE45}" name="Source" dataDxfId="4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CD673B-74C7-4F54-AE29-C575B276F5D8}" name="State_costs" displayName="State_costs" ref="A42:F47" totalsRowShown="0" headerRowDxfId="44" dataDxfId="42" headerRowBorderDxfId="43" tableBorderDxfId="41" totalsRowBorderDxfId="40">
  <autoFilter ref="A42:F47" xr:uid="{ECCD673B-74C7-4F54-AE29-C575B276F5D8}"/>
  <tableColumns count="6">
    <tableColumn id="1" xr3:uid="{26382A1A-7073-404D-85C2-543D8F882878}" name="Item" dataDxfId="39"/>
    <tableColumn id="2" xr3:uid="{0C0A0232-1463-48A9-B424-43E0B0BBFC22}" name="Unit cost (£)" dataDxfId="38"/>
    <tableColumn id="3" xr3:uid="{F1A3F8DC-A7EB-4A49-858D-3DC54E86ACEA}" name="State 1: no CAV" dataDxfId="37"/>
    <tableColumn id="4" xr3:uid="{BE44B9C9-92BF-4BF7-B2C5-CB42CECF6F79}" name="State 2: mild/moderate" dataDxfId="36"/>
    <tableColumn id="5" xr3:uid="{F288721A-C8C4-46C3-9E2E-C6E6EDDA035B}" name="State 3: severe" dataDxfId="35"/>
    <tableColumn id="6" xr3:uid="{02F2CE3F-58F4-4A94-B475-9B9D7DADE7B5}" name="Source" dataDxfId="3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8CE5FC-6A30-40D4-9207-FA9540D8FB89}" name="distributions_table" displayName="distributions_table" ref="A87:F110" totalsRowShown="0" headerRowDxfId="33" headerRowBorderDxfId="32" tableBorderDxfId="31">
  <autoFilter ref="A87:F110" xr:uid="{E48CE5FC-6A30-40D4-9207-FA9540D8FB89}"/>
  <tableColumns count="6">
    <tableColumn id="1" xr3:uid="{AEB4292A-1633-41F8-BA93-C532544C6677}" name="Parameter" dataDxfId="30"/>
    <tableColumn id="2" xr3:uid="{372520AE-00DB-46C9-81AB-D924B4219494}" name="Base"/>
    <tableColumn id="3" xr3:uid="{FABC01CC-EAFE-473E-84B0-7B2B74D01D89}" name="Low"/>
    <tableColumn id="4" xr3:uid="{08D03C7F-998D-4C0C-83D3-6B13A7084051}" name="High"/>
    <tableColumn id="5" xr3:uid="{9ECFFAD6-7142-41BF-AC64-99D95481BA59}" name="Distribution" dataDxfId="29"/>
    <tableColumn id="6" xr3:uid="{91AF8254-2DF8-4FB5-932A-060AFEAB3FEB}" name="Basis for the rang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4609808-23C2-40B8-8E7B-C53C0827F52E}" name="Azathioprine_TP" displayName="Azathioprine_TP" ref="A3:E7" totalsRowShown="0" headerRowDxfId="28" dataDxfId="27" tableBorderDxfId="26" dataCellStyle="Percent">
  <autoFilter ref="A3:E7" xr:uid="{64609808-23C2-40B8-8E7B-C53C0827F52E}"/>
  <tableColumns count="5">
    <tableColumn id="1" xr3:uid="{C33301EE-E31D-4F0B-A5FC-93C3D674C9CF}" name="from_state" dataDxfId="25"/>
    <tableColumn id="2" xr3:uid="{F6FA7F19-349D-4045-8AB5-E74D12C20FDB}" name="to_1" dataDxfId="24" dataCellStyle="Percent"/>
    <tableColumn id="3" xr3:uid="{622FD804-E9E4-47DC-8252-41F1EA0ADC25}" name="to_2" dataDxfId="23" dataCellStyle="Percent"/>
    <tableColumn id="4" xr3:uid="{E3FBA29A-7F6C-48D3-81E9-043C9A7C0787}" name="to_3" dataDxfId="22" dataCellStyle="Percent"/>
    <tableColumn id="5" xr3:uid="{686B7FBB-2CFE-4F19-BDA3-817A41629AC1}" name="to_4" dataDxfId="2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F1F5B9-C390-4C83-80F4-F218A907C19B}" name="Everolimus_TP" displayName="Everolimus_TP" ref="A12:E16" totalsRowShown="0" headerRowDxfId="20" tableBorderDxfId="19">
  <autoFilter ref="A12:E16" xr:uid="{0CF1F5B9-C390-4C83-80F4-F218A907C19B}"/>
  <tableColumns count="5">
    <tableColumn id="1" xr3:uid="{CE4FBEB3-3274-43D7-8B58-E532A01D86F9}" name="from_state" dataDxfId="18"/>
    <tableColumn id="2" xr3:uid="{38E6337B-A55B-43CA-80CB-B3376E2768A8}" name="to_1" dataDxfId="17" dataCellStyle="Percent"/>
    <tableColumn id="3" xr3:uid="{9277E380-D06B-40A6-8DA7-B47D4FD3723C}" name="to_2" dataDxfId="16" dataCellStyle="Percent"/>
    <tableColumn id="4" xr3:uid="{4B148345-6041-4C60-BC99-66B184FE90D9}" name="to_3" dataDxfId="15" dataCellStyle="Percent"/>
    <tableColumn id="5" xr3:uid="{87BEDFE6-F838-4C6F-9D5B-E6A717187DC4}" name="to_4" dataDxfId="1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A4BFD7-9DD1-4D96-849A-3B75CA5142EC}" name="Table11" displayName="Table11" ref="A3:K12" totalsRowShown="0">
  <autoFilter ref="A3:K12" xr:uid="{EEA4BFD7-9DD1-4D96-849A-3B75CA5142EC}"/>
  <sortState xmlns:xlrd2="http://schemas.microsoft.com/office/spreadsheetml/2017/richdata2" ref="A4:K12">
    <sortCondition ref="I3:I12"/>
  </sortState>
  <tableColumns count="11">
    <tableColumn id="1" xr3:uid="{FA8B7C66-E753-4B8C-8AF7-F30D0D6C1040}" name="Parameter" dataDxfId="13"/>
    <tableColumn id="2" xr3:uid="{F8AACAA5-AE6C-4DB6-B565-A442D4B1D3F4}" name="Input cell to change" dataDxfId="12"/>
    <tableColumn id="3" xr3:uid="{0CAC9D0D-544E-43B7-8D6C-6C33A377D344}" name="Base"/>
    <tableColumn id="4" xr3:uid="{66532682-B1BC-4021-93D2-07572A9ED7FD}" name="Low"/>
    <tableColumn id="5" xr3:uid="{1C8FCC44-2BA9-42EC-9BC0-C672060FBD6A}" name="High"/>
    <tableColumn id="6" xr3:uid="{7B801B44-B371-453C-8B98-EF722E286CDD}" name="ICER at Base" dataDxfId="11"/>
    <tableColumn id="7" xr3:uid="{400EE35D-3CC4-4B35-9815-BC5CD79D075B}" name="ICER at low" dataDxfId="10"/>
    <tableColumn id="8" xr3:uid="{4EAD86CF-D4D3-4AB0-A516-30491D0508FB}" name="ICER at high" dataDxfId="9"/>
    <tableColumn id="9" xr3:uid="{D5D43D31-2C85-4845-9944-C389B575DC1A}" name="Range" dataDxfId="8">
      <calculatedColumnFormula>ABS(H4-G4)</calculatedColumnFormula>
    </tableColumn>
    <tableColumn id="10" xr3:uid="{C623C5E7-0BD3-4E33-9216-1025CFA8BDC0}" name="Low value" dataDxfId="7">
      <calculatedColumnFormula>G4-F4</calculatedColumnFormula>
    </tableColumn>
    <tableColumn id="11" xr3:uid="{8096409C-E1B3-4460-9400-7A3D47AEC63C}" name="High value" dataDxfId="6">
      <calculatedColumnFormula>H4-F4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3" Type="http://schemas.openxmlformats.org/officeDocument/2006/relationships/hyperlink" Target="https://doi.org/10.3310/hta10480" TargetMode="Externa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2" Type="http://schemas.openxmlformats.org/officeDocument/2006/relationships/hyperlink" Target="https://bnf.nice.org.uk/drugs/azathioprine/medicinal-forms/" TargetMode="External"/><Relationship Id="rId1" Type="http://schemas.openxmlformats.org/officeDocument/2006/relationships/hyperlink" Target="https://bnf.nice.org.uk/drugs/everolimus/medicinal-forms/" TargetMode="External"/><Relationship Id="rId6" Type="http://schemas.openxmlformats.org/officeDocument/2006/relationships/hyperlink" Target="https://pmc.ncbi.nlm.nih.gov/articles/PMC7875263" TargetMode="External"/><Relationship Id="rId11" Type="http://schemas.openxmlformats.org/officeDocument/2006/relationships/table" Target="../tables/table6.xml"/><Relationship Id="rId5" Type="http://schemas.openxmlformats.org/officeDocument/2006/relationships/hyperlink" Target="https://www.nice.org.uk/guidance/mtg32/chapter/5-Cost-considerations" TargetMode="External"/><Relationship Id="rId10" Type="http://schemas.openxmlformats.org/officeDocument/2006/relationships/table" Target="../tables/table5.xml"/><Relationship Id="rId4" Type="http://schemas.openxmlformats.org/officeDocument/2006/relationships/hyperlink" Target="https://kar.kent.ac.uk/115569/" TargetMode="External"/><Relationship Id="rId9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AE1A-7AD5-4476-AEA3-39BDBBD6557A}">
  <dimension ref="A1:B68"/>
  <sheetViews>
    <sheetView showGridLines="0" tabSelected="1" topLeftCell="A52" workbookViewId="0">
      <selection activeCell="B73" sqref="B73"/>
    </sheetView>
  </sheetViews>
  <sheetFormatPr defaultRowHeight="15"/>
  <cols>
    <col min="1" max="1" width="24" customWidth="1"/>
    <col min="2" max="2" width="110" customWidth="1"/>
  </cols>
  <sheetData>
    <row r="1" spans="1:2" ht="18">
      <c r="A1" s="5" t="s">
        <v>106</v>
      </c>
    </row>
    <row r="3" spans="1:2">
      <c r="A3" s="4" t="s">
        <v>105</v>
      </c>
      <c r="B3" s="3"/>
    </row>
    <row r="4" spans="1:2" ht="25.5">
      <c r="A4" s="2" t="s">
        <v>104</v>
      </c>
      <c r="B4" s="1" t="s">
        <v>103</v>
      </c>
    </row>
    <row r="5" spans="1:2" ht="25.5">
      <c r="A5" s="2" t="s">
        <v>102</v>
      </c>
      <c r="B5" s="1" t="s">
        <v>101</v>
      </c>
    </row>
    <row r="6" spans="1:2">
      <c r="A6" s="2" t="s">
        <v>100</v>
      </c>
      <c r="B6" s="1" t="s">
        <v>62</v>
      </c>
    </row>
    <row r="7" spans="1:2">
      <c r="A7" s="2" t="s">
        <v>99</v>
      </c>
      <c r="B7" s="34" t="s">
        <v>98</v>
      </c>
    </row>
    <row r="8" spans="1:2">
      <c r="A8" s="2" t="s">
        <v>97</v>
      </c>
      <c r="B8" s="1" t="s">
        <v>96</v>
      </c>
    </row>
    <row r="9" spans="1:2">
      <c r="A9" s="2" t="s">
        <v>95</v>
      </c>
      <c r="B9" s="1" t="s">
        <v>94</v>
      </c>
    </row>
    <row r="10" spans="1:2">
      <c r="A10" s="2" t="s">
        <v>93</v>
      </c>
      <c r="B10" s="1" t="s">
        <v>92</v>
      </c>
    </row>
    <row r="11" spans="1:2">
      <c r="A11" s="2" t="s">
        <v>91</v>
      </c>
      <c r="B11" s="1" t="s">
        <v>90</v>
      </c>
    </row>
    <row r="12" spans="1:2">
      <c r="A12" s="2" t="s">
        <v>89</v>
      </c>
      <c r="B12" s="1" t="s">
        <v>88</v>
      </c>
    </row>
    <row r="14" spans="1:2">
      <c r="A14" s="4" t="s">
        <v>87</v>
      </c>
      <c r="B14" s="3"/>
    </row>
    <row r="15" spans="1:2">
      <c r="A15" s="2" t="s">
        <v>86</v>
      </c>
      <c r="B15" s="1" t="s">
        <v>85</v>
      </c>
    </row>
    <row r="16" spans="1:2">
      <c r="A16" s="2" t="s">
        <v>84</v>
      </c>
      <c r="B16" s="1" t="s">
        <v>83</v>
      </c>
    </row>
    <row r="17" spans="1:2">
      <c r="A17" s="2" t="s">
        <v>82</v>
      </c>
      <c r="B17" s="1" t="s">
        <v>81</v>
      </c>
    </row>
    <row r="18" spans="1:2">
      <c r="A18" s="2" t="s">
        <v>80</v>
      </c>
      <c r="B18" s="1" t="s">
        <v>79</v>
      </c>
    </row>
    <row r="19" spans="1:2">
      <c r="A19" s="2" t="s">
        <v>78</v>
      </c>
      <c r="B19" s="1" t="s">
        <v>77</v>
      </c>
    </row>
    <row r="20" spans="1:2">
      <c r="A20" s="2" t="s">
        <v>76</v>
      </c>
      <c r="B20" s="1" t="s">
        <v>75</v>
      </c>
    </row>
    <row r="22" spans="1:2">
      <c r="A22" s="4" t="s">
        <v>74</v>
      </c>
      <c r="B22" s="3"/>
    </row>
    <row r="23" spans="1:2" ht="25.5">
      <c r="A23" s="2" t="s">
        <v>73</v>
      </c>
      <c r="B23" s="1" t="s">
        <v>72</v>
      </c>
    </row>
    <row r="24" spans="1:2" ht="25.5">
      <c r="A24" s="2" t="s">
        <v>71</v>
      </c>
      <c r="B24" s="34" t="s">
        <v>132</v>
      </c>
    </row>
    <row r="25" spans="1:2">
      <c r="A25" s="2" t="s">
        <v>70</v>
      </c>
      <c r="B25" s="1" t="s">
        <v>69</v>
      </c>
    </row>
    <row r="26" spans="1:2">
      <c r="A26" s="2" t="s">
        <v>61</v>
      </c>
      <c r="B26" s="1" t="s">
        <v>68</v>
      </c>
    </row>
    <row r="28" spans="1:2">
      <c r="A28" s="4" t="s">
        <v>67</v>
      </c>
      <c r="B28" s="3"/>
    </row>
    <row r="29" spans="1:2">
      <c r="A29" s="2" t="s">
        <v>66</v>
      </c>
      <c r="B29" s="1" t="s">
        <v>65</v>
      </c>
    </row>
    <row r="30" spans="1:2">
      <c r="A30" s="2" t="s">
        <v>64</v>
      </c>
      <c r="B30" s="1" t="s">
        <v>63</v>
      </c>
    </row>
    <row r="31" spans="1:2" ht="25.5">
      <c r="A31" s="2" t="s">
        <v>62</v>
      </c>
      <c r="B31" s="34" t="s">
        <v>133</v>
      </c>
    </row>
    <row r="32" spans="1:2">
      <c r="A32" s="2" t="s">
        <v>61</v>
      </c>
      <c r="B32" s="1" t="s">
        <v>60</v>
      </c>
    </row>
    <row r="33" spans="1:2">
      <c r="A33" s="2" t="s">
        <v>59</v>
      </c>
      <c r="B33" s="1" t="s">
        <v>58</v>
      </c>
    </row>
    <row r="34" spans="1:2">
      <c r="A34" s="2" t="s">
        <v>57</v>
      </c>
      <c r="B34" s="1" t="s">
        <v>56</v>
      </c>
    </row>
    <row r="35" spans="1:2" ht="25.5">
      <c r="A35" s="2" t="s">
        <v>55</v>
      </c>
      <c r="B35" s="1" t="s">
        <v>54</v>
      </c>
    </row>
    <row r="37" spans="1:2">
      <c r="A37" s="4" t="s">
        <v>53</v>
      </c>
      <c r="B37" s="3"/>
    </row>
    <row r="38" spans="1:2" ht="25.5">
      <c r="A38" s="2" t="s">
        <v>52</v>
      </c>
      <c r="B38" s="1" t="s">
        <v>51</v>
      </c>
    </row>
    <row r="39" spans="1:2">
      <c r="A39" s="2" t="s">
        <v>50</v>
      </c>
      <c r="B39" s="1" t="s">
        <v>49</v>
      </c>
    </row>
    <row r="40" spans="1:2">
      <c r="A40" s="2" t="s">
        <v>48</v>
      </c>
      <c r="B40" s="1" t="s">
        <v>47</v>
      </c>
    </row>
    <row r="41" spans="1:2">
      <c r="A41" s="2" t="s">
        <v>46</v>
      </c>
      <c r="B41" s="1" t="s">
        <v>45</v>
      </c>
    </row>
    <row r="42" spans="1:2">
      <c r="A42" s="2" t="s">
        <v>44</v>
      </c>
      <c r="B42" s="1" t="s">
        <v>43</v>
      </c>
    </row>
    <row r="43" spans="1:2">
      <c r="A43" s="2" t="s">
        <v>42</v>
      </c>
      <c r="B43" s="1" t="s">
        <v>41</v>
      </c>
    </row>
    <row r="44" spans="1:2">
      <c r="A44" s="2" t="s">
        <v>40</v>
      </c>
      <c r="B44" s="1" t="s">
        <v>39</v>
      </c>
    </row>
    <row r="45" spans="1:2">
      <c r="A45" s="35" t="s">
        <v>135</v>
      </c>
      <c r="B45" t="s">
        <v>134</v>
      </c>
    </row>
    <row r="46" spans="1:2">
      <c r="A46" s="4" t="s">
        <v>38</v>
      </c>
      <c r="B46" s="3"/>
    </row>
    <row r="47" spans="1:2">
      <c r="A47" s="2" t="s">
        <v>37</v>
      </c>
      <c r="B47" s="1" t="s">
        <v>36</v>
      </c>
    </row>
    <row r="48" spans="1:2">
      <c r="A48" s="2" t="s">
        <v>35</v>
      </c>
      <c r="B48" s="1" t="s">
        <v>34</v>
      </c>
    </row>
    <row r="49" spans="1:2">
      <c r="A49" s="2" t="s">
        <v>33</v>
      </c>
      <c r="B49" s="1" t="s">
        <v>32</v>
      </c>
    </row>
    <row r="50" spans="1:2" ht="25.5">
      <c r="A50" s="2" t="s">
        <v>31</v>
      </c>
      <c r="B50" s="1" t="s">
        <v>30</v>
      </c>
    </row>
    <row r="51" spans="1:2">
      <c r="A51" s="2" t="s">
        <v>29</v>
      </c>
      <c r="B51" s="1" t="s">
        <v>28</v>
      </c>
    </row>
    <row r="52" spans="1:2">
      <c r="A52" s="2" t="s">
        <v>27</v>
      </c>
      <c r="B52" s="1" t="s">
        <v>26</v>
      </c>
    </row>
    <row r="54" spans="1:2">
      <c r="A54" s="4" t="s">
        <v>25</v>
      </c>
      <c r="B54" s="3"/>
    </row>
    <row r="55" spans="1:2">
      <c r="A55" s="2" t="s">
        <v>24</v>
      </c>
      <c r="B55" s="1" t="s">
        <v>23</v>
      </c>
    </row>
    <row r="56" spans="1:2">
      <c r="A56" s="2" t="s">
        <v>22</v>
      </c>
      <c r="B56" s="1" t="s">
        <v>21</v>
      </c>
    </row>
    <row r="57" spans="1:2" ht="25.5">
      <c r="A57" s="2" t="s">
        <v>20</v>
      </c>
      <c r="B57" s="1" t="s">
        <v>19</v>
      </c>
    </row>
    <row r="59" spans="1:2">
      <c r="A59" s="4" t="s">
        <v>18</v>
      </c>
      <c r="B59" s="3"/>
    </row>
    <row r="60" spans="1:2">
      <c r="A60" s="2" t="s">
        <v>17</v>
      </c>
      <c r="B60" s="1" t="s">
        <v>16</v>
      </c>
    </row>
    <row r="61" spans="1:2">
      <c r="A61" s="2" t="s">
        <v>15</v>
      </c>
      <c r="B61" s="1" t="s">
        <v>14</v>
      </c>
    </row>
    <row r="62" spans="1:2">
      <c r="A62" s="2" t="s">
        <v>13</v>
      </c>
      <c r="B62" s="1" t="s">
        <v>12</v>
      </c>
    </row>
    <row r="63" spans="1:2">
      <c r="A63" s="2" t="s">
        <v>11</v>
      </c>
      <c r="B63" s="34" t="s">
        <v>10</v>
      </c>
    </row>
    <row r="64" spans="1:2">
      <c r="A64" s="35" t="s">
        <v>9</v>
      </c>
      <c r="B64" s="1" t="s">
        <v>8</v>
      </c>
    </row>
    <row r="65" spans="1:2">
      <c r="A65" s="35" t="s">
        <v>7</v>
      </c>
      <c r="B65" s="1" t="s">
        <v>6</v>
      </c>
    </row>
    <row r="66" spans="1:2">
      <c r="A66" s="35" t="s">
        <v>5</v>
      </c>
      <c r="B66" s="1" t="s">
        <v>4</v>
      </c>
    </row>
    <row r="67" spans="1:2">
      <c r="A67" s="2" t="s">
        <v>3</v>
      </c>
      <c r="B67" s="1" t="s">
        <v>2</v>
      </c>
    </row>
    <row r="68" spans="1:2">
      <c r="A68" s="35" t="s">
        <v>1</v>
      </c>
      <c r="B68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982-C32C-4123-81AF-5218D85ACFF7}">
  <dimension ref="A1:F125"/>
  <sheetViews>
    <sheetView workbookViewId="0">
      <selection activeCell="B15" sqref="B15"/>
    </sheetView>
  </sheetViews>
  <sheetFormatPr defaultRowHeight="15"/>
  <cols>
    <col min="1" max="1" width="16.28515625" customWidth="1"/>
    <col min="2" max="2" width="23.28515625" bestFit="1" customWidth="1"/>
    <col min="3" max="3" width="17" customWidth="1"/>
    <col min="4" max="4" width="20" bestFit="1" customWidth="1"/>
    <col min="5" max="5" width="11.28515625" bestFit="1" customWidth="1"/>
  </cols>
  <sheetData>
    <row r="1" spans="1:6" s="7" customFormat="1" ht="31.5">
      <c r="A1" s="7" t="s">
        <v>107</v>
      </c>
      <c r="F1" s="29" t="s">
        <v>127</v>
      </c>
    </row>
    <row r="2" spans="1:6" ht="15.75" thickBot="1"/>
    <row r="3" spans="1:6">
      <c r="A3" s="10" t="s">
        <v>108</v>
      </c>
      <c r="B3" s="11" t="s">
        <v>109</v>
      </c>
      <c r="C3" s="11" t="s">
        <v>110</v>
      </c>
      <c r="D3" s="11" t="s">
        <v>111</v>
      </c>
      <c r="E3" s="12" t="s">
        <v>112</v>
      </c>
    </row>
    <row r="4" spans="1:6" ht="15.75" thickBot="1">
      <c r="A4" s="17">
        <v>622</v>
      </c>
      <c r="B4" s="18">
        <v>47.1</v>
      </c>
      <c r="C4" s="18">
        <v>6.3041095890410999</v>
      </c>
      <c r="D4" s="18">
        <v>64.260273972602704</v>
      </c>
      <c r="E4" s="19">
        <v>0.86</v>
      </c>
    </row>
    <row r="5" spans="1:6" ht="15.75" thickBot="1">
      <c r="A5" s="14"/>
      <c r="B5" s="15"/>
      <c r="C5" s="15"/>
      <c r="D5" s="15"/>
      <c r="E5" s="16"/>
    </row>
    <row r="6" spans="1:6">
      <c r="A6" s="20" t="s">
        <v>113</v>
      </c>
      <c r="B6" s="21" t="s">
        <v>114</v>
      </c>
      <c r="C6" s="21" t="s">
        <v>115</v>
      </c>
      <c r="D6" s="21" t="s">
        <v>116</v>
      </c>
      <c r="E6" s="22" t="s">
        <v>117</v>
      </c>
    </row>
    <row r="7" spans="1:6" ht="15.75" thickBot="1">
      <c r="A7" s="17">
        <v>1.65</v>
      </c>
      <c r="B7" s="18">
        <v>0</v>
      </c>
      <c r="C7" s="18">
        <v>16.48</v>
      </c>
      <c r="D7" s="18">
        <v>1093</v>
      </c>
      <c r="E7" s="19">
        <v>2224</v>
      </c>
    </row>
    <row r="10" spans="1:6" s="7" customFormat="1" ht="31.5">
      <c r="A10" s="7" t="s">
        <v>131</v>
      </c>
      <c r="D10" s="6" t="s">
        <v>130</v>
      </c>
      <c r="F10" s="29" t="s">
        <v>127</v>
      </c>
    </row>
    <row r="12" spans="1:6" ht="15.75" thickBot="1"/>
    <row r="13" spans="1:6">
      <c r="A13" s="10" t="s">
        <v>123</v>
      </c>
      <c r="B13" s="11" t="s">
        <v>122</v>
      </c>
      <c r="C13" s="11" t="s">
        <v>121</v>
      </c>
      <c r="D13" s="11" t="s">
        <v>120</v>
      </c>
      <c r="E13" s="12" t="s">
        <v>119</v>
      </c>
      <c r="F13" s="30" t="s">
        <v>128</v>
      </c>
    </row>
    <row r="14" spans="1:6">
      <c r="A14" s="23" t="s">
        <v>124</v>
      </c>
      <c r="B14" s="8">
        <v>1336</v>
      </c>
      <c r="C14" s="8">
        <v>185</v>
      </c>
      <c r="D14" s="8">
        <v>40</v>
      </c>
      <c r="E14" s="24">
        <v>139</v>
      </c>
      <c r="F14" s="31">
        <f>SUM(B14:E14)</f>
        <v>1700</v>
      </c>
    </row>
    <row r="15" spans="1:6">
      <c r="A15" s="23" t="s">
        <v>125</v>
      </c>
      <c r="B15" s="8">
        <v>0</v>
      </c>
      <c r="C15" s="8">
        <v>220</v>
      </c>
      <c r="D15" s="8">
        <v>52</v>
      </c>
      <c r="E15" s="24">
        <v>49</v>
      </c>
      <c r="F15" s="31">
        <f t="shared" ref="F15:F16" si="0">SUM(B15:E15)</f>
        <v>321</v>
      </c>
    </row>
    <row r="16" spans="1:6" ht="15.75" thickBot="1">
      <c r="A16" s="25" t="s">
        <v>126</v>
      </c>
      <c r="B16" s="26">
        <v>0</v>
      </c>
      <c r="C16" s="26">
        <v>0</v>
      </c>
      <c r="D16" s="26">
        <v>140</v>
      </c>
      <c r="E16" s="27">
        <v>63</v>
      </c>
      <c r="F16" s="32">
        <f t="shared" si="0"/>
        <v>203</v>
      </c>
    </row>
    <row r="18" spans="1:6">
      <c r="A18" t="s">
        <v>118</v>
      </c>
    </row>
    <row r="21" spans="1:6" s="7" customFormat="1" ht="31.5">
      <c r="A21" s="7" t="s">
        <v>194</v>
      </c>
      <c r="D21" s="6"/>
      <c r="F21" s="29"/>
    </row>
    <row r="24" spans="1:6" ht="15.75">
      <c r="A24" s="51" t="s">
        <v>195</v>
      </c>
      <c r="B24" s="51" t="s">
        <v>196</v>
      </c>
      <c r="C24" s="51" t="s">
        <v>197</v>
      </c>
    </row>
    <row r="25" spans="1:6" ht="15.75">
      <c r="A25" s="52">
        <v>0</v>
      </c>
      <c r="B25" s="53">
        <v>4.6020000000000002E-3</v>
      </c>
      <c r="C25" s="53">
        <v>3.6310000000000001E-3</v>
      </c>
    </row>
    <row r="26" spans="1:6" ht="15.75">
      <c r="A26" s="52">
        <v>1</v>
      </c>
      <c r="B26" s="53">
        <v>2.4699999999999999E-4</v>
      </c>
      <c r="C26" s="53">
        <v>2.0599999999999999E-4</v>
      </c>
    </row>
    <row r="27" spans="1:6" ht="15.75">
      <c r="A27" s="52">
        <v>2</v>
      </c>
      <c r="B27" s="53">
        <v>1.7699999999999999E-4</v>
      </c>
      <c r="C27" s="53">
        <v>1.37E-4</v>
      </c>
    </row>
    <row r="28" spans="1:6" ht="15.75">
      <c r="A28" s="52">
        <v>3</v>
      </c>
      <c r="B28" s="53">
        <v>1.15E-4</v>
      </c>
      <c r="C28" s="53">
        <v>9.8999999999999994E-5</v>
      </c>
    </row>
    <row r="29" spans="1:6" ht="15.75">
      <c r="A29" s="52">
        <v>4</v>
      </c>
      <c r="B29" s="53">
        <v>1E-4</v>
      </c>
      <c r="C29" s="53">
        <v>8.1000000000000004E-5</v>
      </c>
    </row>
    <row r="30" spans="1:6" ht="15.75">
      <c r="A30" s="52">
        <v>5</v>
      </c>
      <c r="B30" s="53">
        <v>9.7E-5</v>
      </c>
      <c r="C30" s="53">
        <v>6.9999999999999994E-5</v>
      </c>
    </row>
    <row r="31" spans="1:6" ht="15.75">
      <c r="A31" s="52">
        <v>6</v>
      </c>
      <c r="B31" s="53">
        <v>8.0000000000000007E-5</v>
      </c>
      <c r="C31" s="53">
        <v>7.4999999999999993E-5</v>
      </c>
    </row>
    <row r="32" spans="1:6" ht="15.75">
      <c r="A32" s="52">
        <v>7</v>
      </c>
      <c r="B32" s="53">
        <v>8.0000000000000007E-5</v>
      </c>
      <c r="C32" s="53">
        <v>6.2000000000000003E-5</v>
      </c>
    </row>
    <row r="33" spans="1:3" ht="15.75">
      <c r="A33" s="52">
        <v>8</v>
      </c>
      <c r="B33" s="53">
        <v>7.8999999999999996E-5</v>
      </c>
      <c r="C33" s="53">
        <v>6.0999999999999999E-5</v>
      </c>
    </row>
    <row r="34" spans="1:3" ht="15.75">
      <c r="A34" s="52">
        <v>9</v>
      </c>
      <c r="B34" s="53">
        <v>9.1000000000000003E-5</v>
      </c>
      <c r="C34" s="53">
        <v>6.0000000000000002E-5</v>
      </c>
    </row>
    <row r="35" spans="1:3" ht="15.75">
      <c r="A35" s="52">
        <v>10</v>
      </c>
      <c r="B35" s="53">
        <v>6.9999999999999994E-5</v>
      </c>
      <c r="C35" s="53">
        <v>7.6000000000000004E-5</v>
      </c>
    </row>
    <row r="36" spans="1:3" ht="15.75">
      <c r="A36" s="52">
        <v>11</v>
      </c>
      <c r="B36" s="53">
        <v>9.5000000000000005E-5</v>
      </c>
      <c r="C36" s="53">
        <v>6.2000000000000003E-5</v>
      </c>
    </row>
    <row r="37" spans="1:3" ht="15.75">
      <c r="A37" s="52">
        <v>12</v>
      </c>
      <c r="B37" s="53">
        <v>9.6000000000000002E-5</v>
      </c>
      <c r="C37" s="53">
        <v>6.6000000000000005E-5</v>
      </c>
    </row>
    <row r="38" spans="1:3" ht="15.75">
      <c r="A38" s="52">
        <v>13</v>
      </c>
      <c r="B38" s="53">
        <v>1.15E-4</v>
      </c>
      <c r="C38" s="53">
        <v>9.3999999999999994E-5</v>
      </c>
    </row>
    <row r="39" spans="1:3" ht="15.75">
      <c r="A39" s="52">
        <v>14</v>
      </c>
      <c r="B39" s="53">
        <v>1.3899999999999999E-4</v>
      </c>
      <c r="C39" s="53">
        <v>1.01E-4</v>
      </c>
    </row>
    <row r="40" spans="1:3" ht="15.75">
      <c r="A40" s="52">
        <v>15</v>
      </c>
      <c r="B40" s="53">
        <v>1.73E-4</v>
      </c>
      <c r="C40" s="53">
        <v>1.17E-4</v>
      </c>
    </row>
    <row r="41" spans="1:3" ht="15.75">
      <c r="A41" s="52">
        <v>16</v>
      </c>
      <c r="B41" s="53">
        <v>2.5700000000000001E-4</v>
      </c>
      <c r="C41" s="53">
        <v>1.17E-4</v>
      </c>
    </row>
    <row r="42" spans="1:3" ht="15.75">
      <c r="A42" s="52">
        <v>17</v>
      </c>
      <c r="B42" s="53">
        <v>2.8800000000000001E-4</v>
      </c>
      <c r="C42" s="53">
        <v>1.6899999999999999E-4</v>
      </c>
    </row>
    <row r="43" spans="1:3" ht="15.75">
      <c r="A43" s="52">
        <v>18</v>
      </c>
      <c r="B43" s="53">
        <v>4.3800000000000002E-4</v>
      </c>
      <c r="C43" s="53">
        <v>1.92E-4</v>
      </c>
    </row>
    <row r="44" spans="1:3" ht="15.75">
      <c r="A44" s="52">
        <v>19</v>
      </c>
      <c r="B44" s="53">
        <v>4.9299999999999995E-4</v>
      </c>
      <c r="C44" s="53">
        <v>1.9799999999999999E-4</v>
      </c>
    </row>
    <row r="45" spans="1:3" ht="15.75">
      <c r="A45" s="52">
        <v>20</v>
      </c>
      <c r="B45" s="53">
        <v>4.57E-4</v>
      </c>
      <c r="C45" s="53">
        <v>2.22E-4</v>
      </c>
    </row>
    <row r="46" spans="1:3" ht="15.75">
      <c r="A46" s="52">
        <v>21</v>
      </c>
      <c r="B46" s="53">
        <v>5.0900000000000001E-4</v>
      </c>
      <c r="C46" s="53">
        <v>2.24E-4</v>
      </c>
    </row>
    <row r="47" spans="1:3" ht="15.75">
      <c r="A47" s="52">
        <v>22</v>
      </c>
      <c r="B47" s="53">
        <v>5.1900000000000004E-4</v>
      </c>
      <c r="C47" s="53">
        <v>2.1800000000000001E-4</v>
      </c>
    </row>
    <row r="48" spans="1:3" ht="15.75">
      <c r="A48" s="52">
        <v>23</v>
      </c>
      <c r="B48" s="53">
        <v>5.53E-4</v>
      </c>
      <c r="C48" s="53">
        <v>2.32E-4</v>
      </c>
    </row>
    <row r="49" spans="1:3" ht="15.75">
      <c r="A49" s="52">
        <v>24</v>
      </c>
      <c r="B49" s="53">
        <v>5.3600000000000002E-4</v>
      </c>
      <c r="C49" s="53">
        <v>2.5099999999999998E-4</v>
      </c>
    </row>
    <row r="50" spans="1:3" ht="15.75">
      <c r="A50" s="52">
        <v>25</v>
      </c>
      <c r="B50" s="53">
        <v>5.4000000000000001E-4</v>
      </c>
      <c r="C50" s="53">
        <v>2.3599999999999999E-4</v>
      </c>
    </row>
    <row r="51" spans="1:3" ht="15.75">
      <c r="A51" s="52">
        <v>26</v>
      </c>
      <c r="B51" s="53">
        <v>6.4199999999999999E-4</v>
      </c>
      <c r="C51" s="53">
        <v>2.5000000000000001E-4</v>
      </c>
    </row>
    <row r="52" spans="1:3" ht="15.75">
      <c r="A52" s="52">
        <v>27</v>
      </c>
      <c r="B52" s="53">
        <v>5.9999999999999995E-4</v>
      </c>
      <c r="C52" s="53">
        <v>3.0299999999999999E-4</v>
      </c>
    </row>
    <row r="53" spans="1:3" ht="15.75">
      <c r="A53" s="52">
        <v>28</v>
      </c>
      <c r="B53" s="53">
        <v>6.7900000000000002E-4</v>
      </c>
      <c r="C53" s="53">
        <v>3.0299999999999999E-4</v>
      </c>
    </row>
    <row r="54" spans="1:3" ht="15.75">
      <c r="A54" s="52">
        <v>29</v>
      </c>
      <c r="B54" s="53">
        <v>7.3700000000000002E-4</v>
      </c>
      <c r="C54" s="53">
        <v>3.39E-4</v>
      </c>
    </row>
    <row r="55" spans="1:3" ht="15.75">
      <c r="A55" s="52">
        <v>30</v>
      </c>
      <c r="B55" s="53">
        <v>7.6900000000000004E-4</v>
      </c>
      <c r="C55" s="53">
        <v>3.7100000000000002E-4</v>
      </c>
    </row>
    <row r="56" spans="1:3" ht="15.75">
      <c r="A56" s="52">
        <v>31</v>
      </c>
      <c r="B56" s="53">
        <v>8.4699999999999999E-4</v>
      </c>
      <c r="C56" s="53">
        <v>3.9300000000000001E-4</v>
      </c>
    </row>
    <row r="57" spans="1:3" ht="15.75">
      <c r="A57" s="52">
        <v>32</v>
      </c>
      <c r="B57" s="53">
        <v>8.8000000000000003E-4</v>
      </c>
      <c r="C57" s="53">
        <v>4.5399999999999998E-4</v>
      </c>
    </row>
    <row r="58" spans="1:3" ht="15.75">
      <c r="A58" s="52">
        <v>33</v>
      </c>
      <c r="B58" s="53">
        <v>9.4899999999999997E-4</v>
      </c>
      <c r="C58" s="53">
        <v>4.8799999999999999E-4</v>
      </c>
    </row>
    <row r="59" spans="1:3" ht="15.75">
      <c r="A59" s="52">
        <v>34</v>
      </c>
      <c r="B59" s="53">
        <v>1.0319999999999999E-3</v>
      </c>
      <c r="C59" s="53">
        <v>5.0799999999999999E-4</v>
      </c>
    </row>
    <row r="60" spans="1:3" ht="15.75">
      <c r="A60" s="52">
        <v>35</v>
      </c>
      <c r="B60" s="53">
        <v>1.1100000000000001E-3</v>
      </c>
      <c r="C60" s="53">
        <v>6.2799999999999998E-4</v>
      </c>
    </row>
    <row r="61" spans="1:3" ht="15.75">
      <c r="A61" s="52">
        <v>36</v>
      </c>
      <c r="B61" s="53">
        <v>1.2329999999999999E-3</v>
      </c>
      <c r="C61" s="53">
        <v>6.3699999999999998E-4</v>
      </c>
    </row>
    <row r="62" spans="1:3" ht="15.75">
      <c r="A62" s="52">
        <v>37</v>
      </c>
      <c r="B62" s="53">
        <v>1.305E-3</v>
      </c>
      <c r="C62" s="53">
        <v>7.1699999999999997E-4</v>
      </c>
    </row>
    <row r="63" spans="1:3" ht="15.75">
      <c r="A63" s="52">
        <v>38</v>
      </c>
      <c r="B63" s="53">
        <v>1.3699999999999999E-3</v>
      </c>
      <c r="C63" s="53">
        <v>7.9000000000000001E-4</v>
      </c>
    </row>
    <row r="64" spans="1:3" ht="15.75">
      <c r="A64" s="52">
        <v>39</v>
      </c>
      <c r="B64" s="53">
        <v>1.5169999999999999E-3</v>
      </c>
      <c r="C64" s="53">
        <v>9.0600000000000001E-4</v>
      </c>
    </row>
    <row r="65" spans="1:3" ht="15.75">
      <c r="A65" s="52">
        <v>40</v>
      </c>
      <c r="B65" s="53">
        <v>1.681E-3</v>
      </c>
      <c r="C65" s="53">
        <v>9.6100000000000005E-4</v>
      </c>
    </row>
    <row r="66" spans="1:3" ht="15.75">
      <c r="A66" s="52">
        <v>41</v>
      </c>
      <c r="B66" s="53">
        <v>1.8079999999999999E-3</v>
      </c>
      <c r="C66" s="53">
        <v>1.065E-3</v>
      </c>
    </row>
    <row r="67" spans="1:3" ht="15.75">
      <c r="A67" s="52">
        <v>42</v>
      </c>
      <c r="B67" s="53">
        <v>1.89E-3</v>
      </c>
      <c r="C67" s="53">
        <v>1.1839999999999999E-3</v>
      </c>
    </row>
    <row r="68" spans="1:3" ht="15.75">
      <c r="A68" s="52">
        <v>43</v>
      </c>
      <c r="B68" s="53">
        <v>2.0739999999999999E-3</v>
      </c>
      <c r="C68" s="53">
        <v>1.2080000000000001E-3</v>
      </c>
    </row>
    <row r="69" spans="1:3" ht="15.75">
      <c r="A69" s="52">
        <v>44</v>
      </c>
      <c r="B69" s="53">
        <v>2.1640000000000001E-3</v>
      </c>
      <c r="C69" s="53">
        <v>1.366E-3</v>
      </c>
    </row>
    <row r="70" spans="1:3" ht="15.75">
      <c r="A70" s="52">
        <v>45</v>
      </c>
      <c r="B70" s="53">
        <v>2.4329999999999998E-3</v>
      </c>
      <c r="C70" s="53">
        <v>1.3849999999999999E-3</v>
      </c>
    </row>
    <row r="71" spans="1:3" ht="15.75">
      <c r="A71" s="52">
        <v>46</v>
      </c>
      <c r="B71" s="53">
        <v>2.6150000000000001E-3</v>
      </c>
      <c r="C71" s="53">
        <v>1.5529999999999999E-3</v>
      </c>
    </row>
    <row r="72" spans="1:3" ht="15.75">
      <c r="A72" s="52">
        <v>47</v>
      </c>
      <c r="B72" s="53">
        <v>2.8389999999999999E-3</v>
      </c>
      <c r="C72" s="53">
        <v>1.7769999999999999E-3</v>
      </c>
    </row>
    <row r="73" spans="1:3" ht="15.75">
      <c r="A73" s="52">
        <v>48</v>
      </c>
      <c r="B73" s="53">
        <v>3.0569999999999998E-3</v>
      </c>
      <c r="C73" s="53">
        <v>1.9109999999999999E-3</v>
      </c>
    </row>
    <row r="74" spans="1:3" ht="15.75">
      <c r="A74" s="52">
        <v>49</v>
      </c>
      <c r="B74" s="53">
        <v>3.3869999999999998E-3</v>
      </c>
      <c r="C74" s="53">
        <v>2.1059999999999998E-3</v>
      </c>
    </row>
    <row r="75" spans="1:3" ht="15.75">
      <c r="A75" s="52">
        <v>50</v>
      </c>
      <c r="B75" s="53">
        <v>3.7109999999999999E-3</v>
      </c>
      <c r="C75" s="53">
        <v>2.3640000000000002E-3</v>
      </c>
    </row>
    <row r="76" spans="1:3" ht="15.75">
      <c r="A76" s="52">
        <v>51</v>
      </c>
      <c r="B76" s="53">
        <v>4.0109999999999998E-3</v>
      </c>
      <c r="C76" s="53">
        <v>2.5370000000000002E-3</v>
      </c>
    </row>
    <row r="77" spans="1:3" ht="15.75">
      <c r="A77" s="52">
        <v>52</v>
      </c>
      <c r="B77" s="53">
        <v>4.2779999999999997E-3</v>
      </c>
      <c r="C77" s="53">
        <v>2.637E-3</v>
      </c>
    </row>
    <row r="78" spans="1:3" ht="15.75">
      <c r="A78" s="52">
        <v>53</v>
      </c>
      <c r="B78" s="53">
        <v>4.5519999999999996E-3</v>
      </c>
      <c r="C78" s="53">
        <v>2.833E-3</v>
      </c>
    </row>
    <row r="79" spans="1:3" ht="15.75">
      <c r="A79" s="52">
        <v>54</v>
      </c>
      <c r="B79" s="53">
        <v>4.9280000000000001E-3</v>
      </c>
      <c r="C79" s="53">
        <v>3.1080000000000001E-3</v>
      </c>
    </row>
    <row r="80" spans="1:3" ht="15.75">
      <c r="A80" s="52">
        <v>55</v>
      </c>
      <c r="B80" s="53">
        <v>5.3200000000000001E-3</v>
      </c>
      <c r="C80" s="53">
        <v>3.3709999999999999E-3</v>
      </c>
    </row>
    <row r="81" spans="1:3" ht="15.75">
      <c r="A81" s="52">
        <v>56</v>
      </c>
      <c r="B81" s="53">
        <v>5.7400000000000003E-3</v>
      </c>
      <c r="C81" s="53">
        <v>3.7090000000000001E-3</v>
      </c>
    </row>
    <row r="82" spans="1:3" ht="15.75">
      <c r="A82" s="52">
        <v>57</v>
      </c>
      <c r="B82" s="53">
        <v>6.2529999999999999E-3</v>
      </c>
      <c r="C82" s="53">
        <v>4.0670000000000003E-3</v>
      </c>
    </row>
    <row r="83" spans="1:3" ht="15.75">
      <c r="A83" s="52">
        <v>58</v>
      </c>
      <c r="B83" s="53">
        <v>6.7279999999999996E-3</v>
      </c>
      <c r="C83" s="53">
        <v>4.3080000000000002E-3</v>
      </c>
    </row>
    <row r="84" spans="1:3" ht="15.75">
      <c r="A84" s="52">
        <v>59</v>
      </c>
      <c r="B84" s="53">
        <v>7.2360000000000002E-3</v>
      </c>
      <c r="C84" s="53">
        <v>4.6259999999999999E-3</v>
      </c>
    </row>
    <row r="85" spans="1:3" ht="15.75">
      <c r="A85" s="52">
        <v>60</v>
      </c>
      <c r="B85" s="53">
        <v>7.7609999999999997E-3</v>
      </c>
      <c r="C85" s="53">
        <v>5.019E-3</v>
      </c>
    </row>
    <row r="86" spans="1:3" ht="15.75">
      <c r="A86" s="52">
        <v>61</v>
      </c>
      <c r="B86" s="53">
        <v>8.5559999999999994E-3</v>
      </c>
      <c r="C86" s="53">
        <v>5.4339999999999996E-3</v>
      </c>
    </row>
    <row r="87" spans="1:3" ht="15.75">
      <c r="A87" s="52">
        <v>62</v>
      </c>
      <c r="B87" s="53">
        <v>9.2919999999999999E-3</v>
      </c>
      <c r="C87" s="53">
        <v>6.0689999999999997E-3</v>
      </c>
    </row>
    <row r="88" spans="1:3" ht="15.75">
      <c r="A88" s="52">
        <v>63</v>
      </c>
      <c r="B88" s="53">
        <v>1.0033E-2</v>
      </c>
      <c r="C88" s="53">
        <v>6.7080000000000004E-3</v>
      </c>
    </row>
    <row r="89" spans="1:3" ht="15.75">
      <c r="A89" s="52">
        <v>64</v>
      </c>
      <c r="B89" s="53">
        <v>1.1172E-2</v>
      </c>
      <c r="C89" s="53">
        <v>7.3220000000000004E-3</v>
      </c>
    </row>
    <row r="90" spans="1:3" ht="15.75">
      <c r="A90" s="52">
        <v>65</v>
      </c>
      <c r="B90" s="53">
        <v>1.1976000000000001E-2</v>
      </c>
      <c r="C90" s="53">
        <v>7.9430000000000004E-3</v>
      </c>
    </row>
    <row r="91" spans="1:3" ht="15.75">
      <c r="A91" s="52">
        <v>66</v>
      </c>
      <c r="B91" s="53">
        <v>1.3403999999999999E-2</v>
      </c>
      <c r="C91" s="53">
        <v>8.9519999999999999E-3</v>
      </c>
    </row>
    <row r="92" spans="1:3" ht="15.75">
      <c r="A92" s="52">
        <v>67</v>
      </c>
      <c r="B92" s="53">
        <v>1.4795000000000001E-2</v>
      </c>
      <c r="C92" s="53">
        <v>9.8709999999999996E-3</v>
      </c>
    </row>
    <row r="93" spans="1:3" ht="15.75">
      <c r="A93" s="52">
        <v>68</v>
      </c>
      <c r="B93" s="53">
        <v>1.6279999999999999E-2</v>
      </c>
      <c r="C93" s="53">
        <v>1.0777E-2</v>
      </c>
    </row>
    <row r="94" spans="1:3" ht="15.75">
      <c r="A94" s="52">
        <v>69</v>
      </c>
      <c r="B94" s="53">
        <v>1.7595E-2</v>
      </c>
      <c r="C94" s="53">
        <v>1.166E-2</v>
      </c>
    </row>
    <row r="95" spans="1:3" ht="15.75">
      <c r="A95" s="52">
        <v>70</v>
      </c>
      <c r="B95" s="53">
        <v>1.9526999999999999E-2</v>
      </c>
      <c r="C95" s="53">
        <v>1.2715000000000001E-2</v>
      </c>
    </row>
    <row r="96" spans="1:3" ht="15.75">
      <c r="A96" s="52">
        <v>71</v>
      </c>
      <c r="B96" s="53">
        <v>2.1506000000000001E-2</v>
      </c>
      <c r="C96" s="53">
        <v>1.3834000000000001E-2</v>
      </c>
    </row>
    <row r="97" spans="1:3" ht="15.75">
      <c r="A97" s="52">
        <v>72</v>
      </c>
      <c r="B97" s="53">
        <v>2.3614E-2</v>
      </c>
      <c r="C97" s="53">
        <v>1.5504E-2</v>
      </c>
    </row>
    <row r="98" spans="1:3" ht="15.75">
      <c r="A98" s="52">
        <v>73</v>
      </c>
      <c r="B98" s="53">
        <v>2.5472999999999999E-2</v>
      </c>
      <c r="C98" s="53">
        <v>1.7044E-2</v>
      </c>
    </row>
    <row r="99" spans="1:3" ht="15.75">
      <c r="A99" s="52">
        <v>74</v>
      </c>
      <c r="B99" s="53">
        <v>2.7789000000000001E-2</v>
      </c>
      <c r="C99" s="53">
        <v>1.8775E-2</v>
      </c>
    </row>
    <row r="100" spans="1:3" ht="15.75">
      <c r="A100" s="52">
        <v>75</v>
      </c>
      <c r="B100" s="53">
        <v>3.0318999999999999E-2</v>
      </c>
      <c r="C100" s="53">
        <v>2.1031999999999999E-2</v>
      </c>
    </row>
    <row r="101" spans="1:3" ht="15.75">
      <c r="A101" s="52">
        <v>76</v>
      </c>
      <c r="B101" s="53">
        <v>3.3748E-2</v>
      </c>
      <c r="C101" s="53">
        <v>2.3224999999999999E-2</v>
      </c>
    </row>
    <row r="102" spans="1:3" ht="15.75">
      <c r="A102" s="52">
        <v>77</v>
      </c>
      <c r="B102" s="53">
        <v>3.7142000000000001E-2</v>
      </c>
      <c r="C102" s="53">
        <v>2.6162000000000001E-2</v>
      </c>
    </row>
    <row r="103" spans="1:3" ht="15.75">
      <c r="A103" s="52">
        <v>78</v>
      </c>
      <c r="B103" s="53">
        <v>4.2361000000000003E-2</v>
      </c>
      <c r="C103" s="53">
        <v>2.9884000000000001E-2</v>
      </c>
    </row>
    <row r="104" spans="1:3" ht="15.75">
      <c r="A104" s="52">
        <v>79</v>
      </c>
      <c r="B104" s="53">
        <v>4.6880999999999999E-2</v>
      </c>
      <c r="C104" s="53">
        <v>3.3516999999999998E-2</v>
      </c>
    </row>
    <row r="105" spans="1:3" ht="15.75">
      <c r="A105" s="52">
        <v>80</v>
      </c>
      <c r="B105" s="53">
        <v>5.2664999999999997E-2</v>
      </c>
      <c r="C105" s="53">
        <v>3.7938E-2</v>
      </c>
    </row>
    <row r="106" spans="1:3" ht="15.75">
      <c r="A106" s="52">
        <v>81</v>
      </c>
      <c r="B106" s="53">
        <v>5.9665999999999997E-2</v>
      </c>
      <c r="C106" s="53">
        <v>4.3557999999999999E-2</v>
      </c>
    </row>
    <row r="107" spans="1:3" ht="15.75">
      <c r="A107" s="52">
        <v>82</v>
      </c>
      <c r="B107" s="53">
        <v>6.7996000000000001E-2</v>
      </c>
      <c r="C107" s="53">
        <v>4.9425999999999998E-2</v>
      </c>
    </row>
    <row r="108" spans="1:3" ht="15.75">
      <c r="A108" s="52">
        <v>83</v>
      </c>
      <c r="B108" s="53">
        <v>7.5244000000000005E-2</v>
      </c>
      <c r="C108" s="53">
        <v>5.6002999999999997E-2</v>
      </c>
    </row>
    <row r="109" spans="1:3" ht="15.75">
      <c r="A109" s="52">
        <v>84</v>
      </c>
      <c r="B109" s="53">
        <v>8.4093000000000001E-2</v>
      </c>
      <c r="C109" s="53">
        <v>6.3009999999999997E-2</v>
      </c>
    </row>
    <row r="110" spans="1:3" ht="15.75">
      <c r="A110" s="52">
        <v>85</v>
      </c>
      <c r="B110" s="53">
        <v>9.3856999999999996E-2</v>
      </c>
      <c r="C110" s="53">
        <v>7.0716000000000001E-2</v>
      </c>
    </row>
    <row r="111" spans="1:3" ht="15.75">
      <c r="A111" s="52">
        <v>86</v>
      </c>
      <c r="B111" s="53">
        <v>0.105364</v>
      </c>
      <c r="C111" s="53">
        <v>8.0642000000000005E-2</v>
      </c>
    </row>
    <row r="112" spans="1:3" ht="15.75">
      <c r="A112" s="52">
        <v>87</v>
      </c>
      <c r="B112" s="53">
        <v>0.117996</v>
      </c>
      <c r="C112" s="53">
        <v>9.0983999999999995E-2</v>
      </c>
    </row>
    <row r="113" spans="1:3" ht="15.75">
      <c r="A113" s="52">
        <v>88</v>
      </c>
      <c r="B113" s="53">
        <v>0.133099</v>
      </c>
      <c r="C113" s="53">
        <v>0.10333000000000001</v>
      </c>
    </row>
    <row r="114" spans="1:3" ht="15.75">
      <c r="A114" s="52">
        <v>89</v>
      </c>
      <c r="B114" s="53">
        <v>0.149453</v>
      </c>
      <c r="C114" s="53">
        <v>0.11686199999999999</v>
      </c>
    </row>
    <row r="115" spans="1:3" ht="15.75">
      <c r="A115" s="52">
        <v>90</v>
      </c>
      <c r="B115" s="53">
        <v>0.166653</v>
      </c>
      <c r="C115" s="53">
        <v>0.134302</v>
      </c>
    </row>
    <row r="116" spans="1:3" ht="15.75">
      <c r="A116" s="52">
        <v>91</v>
      </c>
      <c r="B116" s="53">
        <v>0.184008</v>
      </c>
      <c r="C116" s="53">
        <v>0.15212400000000001</v>
      </c>
    </row>
    <row r="117" spans="1:3" ht="15.75">
      <c r="A117" s="52">
        <v>92</v>
      </c>
      <c r="B117" s="53">
        <v>0.20582</v>
      </c>
      <c r="C117" s="53">
        <v>0.17002900000000001</v>
      </c>
    </row>
    <row r="118" spans="1:3" ht="15.75">
      <c r="A118" s="52">
        <v>93</v>
      </c>
      <c r="B118" s="53">
        <v>0.225915</v>
      </c>
      <c r="C118" s="53">
        <v>0.18865100000000001</v>
      </c>
    </row>
    <row r="119" spans="1:3" ht="15.75">
      <c r="A119" s="52">
        <v>94</v>
      </c>
      <c r="B119" s="53">
        <v>0.248779</v>
      </c>
      <c r="C119" s="53">
        <v>0.207374</v>
      </c>
    </row>
    <row r="120" spans="1:3" ht="15.75">
      <c r="A120" s="52">
        <v>95</v>
      </c>
      <c r="B120" s="53">
        <v>0.271233</v>
      </c>
      <c r="C120" s="53">
        <v>0.22736100000000001</v>
      </c>
    </row>
    <row r="121" spans="1:3" ht="15.75">
      <c r="A121" s="52">
        <v>96</v>
      </c>
      <c r="B121" s="53">
        <v>0.29336000000000001</v>
      </c>
      <c r="C121" s="53">
        <v>0.24959999999999999</v>
      </c>
    </row>
    <row r="122" spans="1:3" ht="15.75">
      <c r="A122" s="52">
        <v>97</v>
      </c>
      <c r="B122" s="53">
        <v>0.32268599999999997</v>
      </c>
      <c r="C122" s="53">
        <v>0.272316</v>
      </c>
    </row>
    <row r="123" spans="1:3" ht="15.75">
      <c r="A123" s="52">
        <v>98</v>
      </c>
      <c r="B123" s="53">
        <v>0.34122999999999998</v>
      </c>
      <c r="C123" s="53">
        <v>0.29809200000000002</v>
      </c>
    </row>
    <row r="124" spans="1:3" ht="15.75">
      <c r="A124" s="52">
        <v>99</v>
      </c>
      <c r="B124" s="53">
        <v>0.36504199999999998</v>
      </c>
      <c r="C124" s="53">
        <v>0.31719399999999998</v>
      </c>
    </row>
    <row r="125" spans="1:3" ht="15.75">
      <c r="A125" s="52">
        <v>100</v>
      </c>
      <c r="B125" s="52">
        <v>0.40248899999999999</v>
      </c>
      <c r="C125" s="52">
        <v>0.349105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D16D-AEB0-4682-8791-1F6CA674934E}">
  <dimension ref="A1:G110"/>
  <sheetViews>
    <sheetView workbookViewId="0">
      <selection activeCell="B12" sqref="B12"/>
    </sheetView>
  </sheetViews>
  <sheetFormatPr defaultRowHeight="15"/>
  <cols>
    <col min="1" max="1" width="32.5703125" customWidth="1"/>
    <col min="2" max="2" width="24.7109375" bestFit="1" customWidth="1"/>
    <col min="3" max="3" width="33.42578125" bestFit="1" customWidth="1"/>
    <col min="4" max="4" width="23.7109375" customWidth="1"/>
    <col min="5" max="5" width="16.85546875" customWidth="1"/>
    <col min="6" max="6" width="19.42578125" customWidth="1"/>
  </cols>
  <sheetData>
    <row r="1" spans="1:4" s="7" customFormat="1" ht="31.5">
      <c r="A1" s="7" t="s">
        <v>145</v>
      </c>
      <c r="D1" s="6"/>
    </row>
    <row r="3" spans="1:4">
      <c r="A3" s="112" t="s">
        <v>146</v>
      </c>
      <c r="B3" s="113" t="s">
        <v>137</v>
      </c>
      <c r="C3" s="114" t="s">
        <v>138</v>
      </c>
    </row>
    <row r="4" spans="1:4">
      <c r="A4" s="110" t="s">
        <v>147</v>
      </c>
      <c r="B4" s="56">
        <v>1000</v>
      </c>
      <c r="C4" s="111" t="s">
        <v>148</v>
      </c>
    </row>
    <row r="5" spans="1:4">
      <c r="A5" s="110" t="s">
        <v>270</v>
      </c>
      <c r="B5" s="36">
        <v>30</v>
      </c>
      <c r="C5" s="111" t="s">
        <v>148</v>
      </c>
    </row>
    <row r="6" spans="1:4">
      <c r="A6" s="110" t="s">
        <v>149</v>
      </c>
      <c r="B6" s="36" t="s">
        <v>150</v>
      </c>
      <c r="C6" s="111" t="s">
        <v>148</v>
      </c>
    </row>
    <row r="7" spans="1:4">
      <c r="A7" s="110" t="s">
        <v>151</v>
      </c>
      <c r="B7" s="57">
        <v>3.5000000000000003E-2</v>
      </c>
      <c r="C7" s="111" t="s">
        <v>152</v>
      </c>
    </row>
    <row r="8" spans="1:4">
      <c r="A8" s="110" t="s">
        <v>291</v>
      </c>
      <c r="B8" s="42">
        <v>25000</v>
      </c>
      <c r="C8" s="111" t="s">
        <v>152</v>
      </c>
    </row>
    <row r="9" spans="1:4">
      <c r="A9" s="110" t="s">
        <v>89</v>
      </c>
      <c r="B9" s="42">
        <v>30000</v>
      </c>
      <c r="C9" s="111" t="s">
        <v>152</v>
      </c>
    </row>
    <row r="10" spans="1:4">
      <c r="A10" s="110" t="s">
        <v>292</v>
      </c>
      <c r="B10" s="42">
        <v>35000</v>
      </c>
      <c r="C10" s="111" t="s">
        <v>152</v>
      </c>
    </row>
    <row r="11" spans="1:4">
      <c r="A11" s="110" t="s">
        <v>153</v>
      </c>
      <c r="B11" s="36">
        <f>'2_Data'!B4</f>
        <v>47.1</v>
      </c>
      <c r="C11" s="82" t="s">
        <v>272</v>
      </c>
      <c r="D11" s="158"/>
    </row>
    <row r="12" spans="1:4">
      <c r="A12" s="124" t="s">
        <v>154</v>
      </c>
      <c r="B12" s="115">
        <f>'2_Data'!E4</f>
        <v>0.86</v>
      </c>
      <c r="C12" s="116" t="s">
        <v>272</v>
      </c>
    </row>
    <row r="13" spans="1:4">
      <c r="A13" s="124" t="s">
        <v>271</v>
      </c>
      <c r="B13" s="115">
        <f>'2_Data'!A$7</f>
        <v>1.65</v>
      </c>
      <c r="C13" s="116" t="s">
        <v>272</v>
      </c>
    </row>
    <row r="14" spans="1:4">
      <c r="A14" s="41"/>
      <c r="B14" s="41"/>
    </row>
    <row r="15" spans="1:4" s="7" customFormat="1" ht="31.5">
      <c r="A15" s="7" t="s">
        <v>155</v>
      </c>
      <c r="D15" s="6"/>
    </row>
    <row r="17" spans="1:6">
      <c r="A17" s="112" t="s">
        <v>136</v>
      </c>
      <c r="B17" s="113" t="s">
        <v>137</v>
      </c>
      <c r="C17" s="114" t="s">
        <v>138</v>
      </c>
    </row>
    <row r="18" spans="1:6">
      <c r="A18" s="110" t="s">
        <v>139</v>
      </c>
      <c r="B18" s="37">
        <v>0.35699999999999998</v>
      </c>
      <c r="C18" s="111" t="s">
        <v>140</v>
      </c>
    </row>
    <row r="19" spans="1:6">
      <c r="A19" s="110" t="s">
        <v>141</v>
      </c>
      <c r="B19" s="37">
        <v>0.52800000000000002</v>
      </c>
      <c r="C19" s="111" t="s">
        <v>140</v>
      </c>
    </row>
    <row r="20" spans="1:6">
      <c r="A20" s="118" t="s">
        <v>143</v>
      </c>
      <c r="B20" s="119">
        <f>B18/B19</f>
        <v>0.67613636363636354</v>
      </c>
      <c r="C20" s="120" t="s">
        <v>142</v>
      </c>
    </row>
    <row r="21" spans="1:6">
      <c r="A21" s="61"/>
      <c r="B21" s="156"/>
      <c r="C21" s="62"/>
    </row>
    <row r="23" spans="1:6" s="7" customFormat="1" ht="31.5">
      <c r="A23" s="7" t="s">
        <v>156</v>
      </c>
      <c r="D23" s="6"/>
    </row>
    <row r="25" spans="1:6" ht="15.75" thickBot="1">
      <c r="A25" s="112" t="s">
        <v>157</v>
      </c>
      <c r="B25" s="113" t="s">
        <v>158</v>
      </c>
      <c r="C25" s="113" t="s">
        <v>159</v>
      </c>
      <c r="D25" s="122" t="s">
        <v>160</v>
      </c>
      <c r="E25" s="123" t="s">
        <v>165</v>
      </c>
    </row>
    <row r="26" spans="1:6">
      <c r="A26" s="110" t="s">
        <v>161</v>
      </c>
      <c r="B26" s="42">
        <v>445.5</v>
      </c>
      <c r="C26" s="36" t="s">
        <v>162</v>
      </c>
      <c r="D26" s="44">
        <f>B26/60*2*365</f>
        <v>5420.25</v>
      </c>
      <c r="E26" s="121" t="s">
        <v>166</v>
      </c>
      <c r="F26" t="s">
        <v>168</v>
      </c>
    </row>
    <row r="27" spans="1:6">
      <c r="A27" s="124" t="s">
        <v>163</v>
      </c>
      <c r="B27" s="125">
        <v>1.4</v>
      </c>
      <c r="C27" s="115" t="s">
        <v>164</v>
      </c>
      <c r="D27" s="126">
        <f>(365/(56/3)* B27)</f>
        <v>27.374999999999996</v>
      </c>
      <c r="E27" s="121" t="s">
        <v>167</v>
      </c>
      <c r="F27" t="s">
        <v>168</v>
      </c>
    </row>
    <row r="30" spans="1:6" s="7" customFormat="1" ht="31.5">
      <c r="A30" s="7" t="s">
        <v>169</v>
      </c>
      <c r="D30" s="6"/>
    </row>
    <row r="32" spans="1:6">
      <c r="A32" s="112" t="s">
        <v>170</v>
      </c>
      <c r="B32" s="113" t="s">
        <v>137</v>
      </c>
      <c r="C32" s="114" t="s">
        <v>138</v>
      </c>
    </row>
    <row r="33" spans="1:7">
      <c r="A33" s="36" t="s">
        <v>171</v>
      </c>
      <c r="B33" s="36">
        <v>0.76</v>
      </c>
      <c r="C33" s="48" t="s">
        <v>177</v>
      </c>
    </row>
    <row r="34" spans="1:7">
      <c r="A34" s="36" t="s">
        <v>172</v>
      </c>
      <c r="B34" s="47">
        <f>u_1-dec_2</f>
        <v>0.71</v>
      </c>
      <c r="C34" s="36" t="s">
        <v>307</v>
      </c>
    </row>
    <row r="35" spans="1:7">
      <c r="A35" s="36" t="s">
        <v>174</v>
      </c>
      <c r="B35" s="47">
        <f>u_1-dec_3</f>
        <v>0.61</v>
      </c>
      <c r="C35" s="36" t="s">
        <v>307</v>
      </c>
    </row>
    <row r="36" spans="1:7">
      <c r="A36" s="36" t="s">
        <v>175</v>
      </c>
      <c r="B36" s="36">
        <v>0</v>
      </c>
      <c r="C36" s="36" t="s">
        <v>176</v>
      </c>
    </row>
    <row r="37" spans="1:7">
      <c r="A37" s="36" t="s">
        <v>305</v>
      </c>
      <c r="B37" s="8">
        <v>0.05</v>
      </c>
      <c r="C37" s="36" t="s">
        <v>173</v>
      </c>
    </row>
    <row r="38" spans="1:7">
      <c r="A38" s="36" t="s">
        <v>306</v>
      </c>
      <c r="B38" s="41">
        <v>0.15</v>
      </c>
      <c r="C38" s="36" t="s">
        <v>173</v>
      </c>
    </row>
    <row r="40" spans="1:7" s="7" customFormat="1" ht="31.5">
      <c r="A40" s="7" t="s">
        <v>178</v>
      </c>
      <c r="D40" s="6"/>
    </row>
    <row r="42" spans="1:7">
      <c r="A42" s="112" t="s">
        <v>179</v>
      </c>
      <c r="B42" s="113" t="s">
        <v>180</v>
      </c>
      <c r="C42" s="113" t="s">
        <v>181</v>
      </c>
      <c r="D42" s="113" t="s">
        <v>182</v>
      </c>
      <c r="E42" s="113" t="s">
        <v>183</v>
      </c>
      <c r="F42" s="114" t="s">
        <v>138</v>
      </c>
    </row>
    <row r="43" spans="1:7">
      <c r="A43" s="110" t="s">
        <v>184</v>
      </c>
      <c r="B43" s="42">
        <v>203</v>
      </c>
      <c r="C43" s="36">
        <v>4</v>
      </c>
      <c r="D43" s="36">
        <v>6</v>
      </c>
      <c r="E43" s="36">
        <v>8</v>
      </c>
      <c r="F43" s="127" t="s">
        <v>185</v>
      </c>
      <c r="G43" t="s">
        <v>168</v>
      </c>
    </row>
    <row r="44" spans="1:7">
      <c r="A44" s="110" t="s">
        <v>186</v>
      </c>
      <c r="B44" s="42">
        <v>1685</v>
      </c>
      <c r="C44" s="36">
        <v>1</v>
      </c>
      <c r="D44" s="36">
        <v>1</v>
      </c>
      <c r="E44" s="36">
        <v>1</v>
      </c>
      <c r="F44" s="127" t="s">
        <v>187</v>
      </c>
      <c r="G44" t="s">
        <v>168</v>
      </c>
    </row>
    <row r="45" spans="1:7">
      <c r="A45" s="110" t="s">
        <v>188</v>
      </c>
      <c r="B45" s="42">
        <v>2725</v>
      </c>
      <c r="C45" s="36">
        <v>0</v>
      </c>
      <c r="D45" s="36">
        <v>0</v>
      </c>
      <c r="E45" s="151">
        <v>0.1</v>
      </c>
      <c r="F45" s="127" t="s">
        <v>189</v>
      </c>
      <c r="G45" t="s">
        <v>168</v>
      </c>
    </row>
    <row r="46" spans="1:7">
      <c r="A46" s="128" t="s">
        <v>190</v>
      </c>
      <c r="B46" s="36"/>
      <c r="C46" s="49">
        <f>($B$43*C43)+($B$44*C44)+($B$45*C45)</f>
        <v>2497</v>
      </c>
      <c r="D46" s="49">
        <f>($B$43*D43)+($B$44*D44)+($B$45*D45)</f>
        <v>2903</v>
      </c>
      <c r="E46" s="49">
        <f>($B$43*E43)+($B$44*E44)+($B$45*E45)</f>
        <v>3581.5</v>
      </c>
      <c r="F46" s="111" t="s">
        <v>191</v>
      </c>
      <c r="G46" t="s">
        <v>168</v>
      </c>
    </row>
    <row r="47" spans="1:7">
      <c r="A47" s="124" t="s">
        <v>192</v>
      </c>
      <c r="B47" s="115"/>
      <c r="C47" s="129"/>
      <c r="D47" s="129"/>
      <c r="E47" s="130">
        <v>0</v>
      </c>
      <c r="F47" s="116" t="s">
        <v>193</v>
      </c>
      <c r="G47" t="s">
        <v>168</v>
      </c>
    </row>
    <row r="50" spans="1:5" s="7" customFormat="1" ht="31.5">
      <c r="A50" s="7" t="s">
        <v>199</v>
      </c>
      <c r="D50" s="6"/>
      <c r="E50" s="28" t="s">
        <v>198</v>
      </c>
    </row>
    <row r="52" spans="1:5" ht="15.75" thickBot="1">
      <c r="A52" s="71" t="s">
        <v>200</v>
      </c>
      <c r="B52" s="72" t="s">
        <v>201</v>
      </c>
      <c r="C52" s="72" t="s">
        <v>202</v>
      </c>
      <c r="D52" s="73" t="s">
        <v>203</v>
      </c>
      <c r="E52" s="54" t="s">
        <v>204</v>
      </c>
    </row>
    <row r="53" spans="1:5">
      <c r="A53" s="67">
        <v>1</v>
      </c>
      <c r="B53" s="11">
        <f>ROUND('2_Data'!$B$4,0)</f>
        <v>47</v>
      </c>
      <c r="C53" s="55">
        <f>_xlfn.XLOOKUP('3_Parameters'!$B53,'2_Data'!$A$25:$A$125,'2_Data'!$B$25:$B$125)</f>
        <v>2.8389999999999999E-3</v>
      </c>
      <c r="D53" s="59">
        <f>_xlfn.XLOOKUP('3_Parameters'!$B53,'2_Data'!$A$25:$A$125,'2_Data'!$C$25:$C$125)</f>
        <v>1.7769999999999999E-3</v>
      </c>
      <c r="E53" s="69">
        <f t="shared" ref="E53:E83" si="0">(C53*share_male)+(D53*(1-share_male))</f>
        <v>2.69032E-3</v>
      </c>
    </row>
    <row r="54" spans="1:5">
      <c r="A54" s="68">
        <v>2</v>
      </c>
      <c r="B54" s="8">
        <f>ROUND(B53,0)+1</f>
        <v>48</v>
      </c>
      <c r="C54" s="58">
        <f>_xlfn.XLOOKUP('3_Parameters'!$B54,'2_Data'!$A$25:$A$125,'2_Data'!$B$25:$B$125)</f>
        <v>3.0569999999999998E-3</v>
      </c>
      <c r="D54" s="60">
        <f>_xlfn.XLOOKUP('3_Parameters'!$B54,'2_Data'!$A$25:$A$125,'2_Data'!$C$25:$C$125)</f>
        <v>1.9109999999999999E-3</v>
      </c>
      <c r="E54" s="70">
        <f t="shared" si="0"/>
        <v>2.8965599999999998E-3</v>
      </c>
    </row>
    <row r="55" spans="1:5">
      <c r="A55" s="68">
        <v>3</v>
      </c>
      <c r="B55" s="8">
        <f t="shared" ref="B55:B82" si="1">ROUND(B54,0)+1</f>
        <v>49</v>
      </c>
      <c r="C55" s="58">
        <f>_xlfn.XLOOKUP('3_Parameters'!$B55,'2_Data'!$A$25:$A$125,'2_Data'!$B$25:$B$125)</f>
        <v>3.3869999999999998E-3</v>
      </c>
      <c r="D55" s="60">
        <f>_xlfn.XLOOKUP('3_Parameters'!$B55,'2_Data'!$A$25:$A$125,'2_Data'!$C$25:$C$125)</f>
        <v>2.1059999999999998E-3</v>
      </c>
      <c r="E55" s="70">
        <f t="shared" si="0"/>
        <v>3.2076600000000002E-3</v>
      </c>
    </row>
    <row r="56" spans="1:5">
      <c r="A56" s="68">
        <v>4</v>
      </c>
      <c r="B56" s="8">
        <f t="shared" si="1"/>
        <v>50</v>
      </c>
      <c r="C56" s="58">
        <f>_xlfn.XLOOKUP('3_Parameters'!$B56,'2_Data'!$A$25:$A$125,'2_Data'!$B$25:$B$125)</f>
        <v>3.7109999999999999E-3</v>
      </c>
      <c r="D56" s="60">
        <f>_xlfn.XLOOKUP('3_Parameters'!$B56,'2_Data'!$A$25:$A$125,'2_Data'!$C$25:$C$125)</f>
        <v>2.3640000000000002E-3</v>
      </c>
      <c r="E56" s="70">
        <f t="shared" si="0"/>
        <v>3.5224199999999996E-3</v>
      </c>
    </row>
    <row r="57" spans="1:5">
      <c r="A57" s="68">
        <v>5</v>
      </c>
      <c r="B57" s="8">
        <f t="shared" si="1"/>
        <v>51</v>
      </c>
      <c r="C57" s="58">
        <f>_xlfn.XLOOKUP('3_Parameters'!$B57,'2_Data'!$A$25:$A$125,'2_Data'!$B$25:$B$125)</f>
        <v>4.0109999999999998E-3</v>
      </c>
      <c r="D57" s="60">
        <f>_xlfn.XLOOKUP('3_Parameters'!$B57,'2_Data'!$A$25:$A$125,'2_Data'!$C$25:$C$125)</f>
        <v>2.5370000000000002E-3</v>
      </c>
      <c r="E57" s="70">
        <f t="shared" si="0"/>
        <v>3.8046399999999998E-3</v>
      </c>
    </row>
    <row r="58" spans="1:5">
      <c r="A58" s="68">
        <v>6</v>
      </c>
      <c r="B58" s="8">
        <f t="shared" si="1"/>
        <v>52</v>
      </c>
      <c r="C58" s="58">
        <f>_xlfn.XLOOKUP('3_Parameters'!$B58,'2_Data'!$A$25:$A$125,'2_Data'!$B$25:$B$125)</f>
        <v>4.2779999999999997E-3</v>
      </c>
      <c r="D58" s="60">
        <f>_xlfn.XLOOKUP('3_Parameters'!$B58,'2_Data'!$A$25:$A$125,'2_Data'!$C$25:$C$125)</f>
        <v>2.637E-3</v>
      </c>
      <c r="E58" s="70">
        <f t="shared" si="0"/>
        <v>4.0482599999999997E-3</v>
      </c>
    </row>
    <row r="59" spans="1:5">
      <c r="A59" s="68">
        <v>7</v>
      </c>
      <c r="B59" s="8">
        <f t="shared" si="1"/>
        <v>53</v>
      </c>
      <c r="C59" s="58">
        <f>_xlfn.XLOOKUP('3_Parameters'!$B59,'2_Data'!$A$25:$A$125,'2_Data'!$B$25:$B$125)</f>
        <v>4.5519999999999996E-3</v>
      </c>
      <c r="D59" s="60">
        <f>_xlfn.XLOOKUP('3_Parameters'!$B59,'2_Data'!$A$25:$A$125,'2_Data'!$C$25:$C$125)</f>
        <v>2.833E-3</v>
      </c>
      <c r="E59" s="70">
        <f t="shared" si="0"/>
        <v>4.3113400000000003E-3</v>
      </c>
    </row>
    <row r="60" spans="1:5">
      <c r="A60" s="68">
        <v>8</v>
      </c>
      <c r="B60" s="8">
        <f t="shared" si="1"/>
        <v>54</v>
      </c>
      <c r="C60" s="58">
        <f>_xlfn.XLOOKUP('3_Parameters'!$B60,'2_Data'!$A$25:$A$125,'2_Data'!$B$25:$B$125)</f>
        <v>4.9280000000000001E-3</v>
      </c>
      <c r="D60" s="60">
        <f>_xlfn.XLOOKUP('3_Parameters'!$B60,'2_Data'!$A$25:$A$125,'2_Data'!$C$25:$C$125)</f>
        <v>3.1080000000000001E-3</v>
      </c>
      <c r="E60" s="70">
        <f t="shared" si="0"/>
        <v>4.6731999999999997E-3</v>
      </c>
    </row>
    <row r="61" spans="1:5">
      <c r="A61" s="68">
        <v>9</v>
      </c>
      <c r="B61" s="8">
        <f>ROUND(B60,0)+1</f>
        <v>55</v>
      </c>
      <c r="C61" s="58">
        <f>_xlfn.XLOOKUP('3_Parameters'!$B61,'2_Data'!$A$25:$A$125,'2_Data'!$B$25:$B$125)</f>
        <v>5.3200000000000001E-3</v>
      </c>
      <c r="D61" s="60">
        <f>_xlfn.XLOOKUP('3_Parameters'!$B61,'2_Data'!$A$25:$A$125,'2_Data'!$C$25:$C$125)</f>
        <v>3.3709999999999999E-3</v>
      </c>
      <c r="E61" s="70">
        <f t="shared" si="0"/>
        <v>5.0471399999999994E-3</v>
      </c>
    </row>
    <row r="62" spans="1:5">
      <c r="A62" s="68">
        <v>10</v>
      </c>
      <c r="B62" s="8">
        <f t="shared" si="1"/>
        <v>56</v>
      </c>
      <c r="C62" s="58">
        <f>_xlfn.XLOOKUP('3_Parameters'!$B62,'2_Data'!$A$25:$A$125,'2_Data'!$B$25:$B$125)</f>
        <v>5.7400000000000003E-3</v>
      </c>
      <c r="D62" s="60">
        <f>_xlfn.XLOOKUP('3_Parameters'!$B62,'2_Data'!$A$25:$A$125,'2_Data'!$C$25:$C$125)</f>
        <v>3.7090000000000001E-3</v>
      </c>
      <c r="E62" s="70">
        <f t="shared" si="0"/>
        <v>5.4556600000000002E-3</v>
      </c>
    </row>
    <row r="63" spans="1:5">
      <c r="A63" s="68">
        <v>11</v>
      </c>
      <c r="B63" s="8">
        <f t="shared" si="1"/>
        <v>57</v>
      </c>
      <c r="C63" s="58">
        <f>_xlfn.XLOOKUP('3_Parameters'!$B63,'2_Data'!$A$25:$A$125,'2_Data'!$B$25:$B$125)</f>
        <v>6.2529999999999999E-3</v>
      </c>
      <c r="D63" s="60">
        <f>_xlfn.XLOOKUP('3_Parameters'!$B63,'2_Data'!$A$25:$A$125,'2_Data'!$C$25:$C$125)</f>
        <v>4.0670000000000003E-3</v>
      </c>
      <c r="E63" s="70">
        <f t="shared" si="0"/>
        <v>5.9469600000000003E-3</v>
      </c>
    </row>
    <row r="64" spans="1:5">
      <c r="A64" s="68">
        <v>12</v>
      </c>
      <c r="B64" s="8">
        <f t="shared" si="1"/>
        <v>58</v>
      </c>
      <c r="C64" s="58">
        <f>_xlfn.XLOOKUP('3_Parameters'!$B64,'2_Data'!$A$25:$A$125,'2_Data'!$B$25:$B$125)</f>
        <v>6.7279999999999996E-3</v>
      </c>
      <c r="D64" s="60">
        <f>_xlfn.XLOOKUP('3_Parameters'!$B64,'2_Data'!$A$25:$A$125,'2_Data'!$C$25:$C$125)</f>
        <v>4.3080000000000002E-3</v>
      </c>
      <c r="E64" s="70">
        <f t="shared" si="0"/>
        <v>6.3892000000000003E-3</v>
      </c>
    </row>
    <row r="65" spans="1:5">
      <c r="A65" s="68">
        <v>13</v>
      </c>
      <c r="B65" s="8">
        <f t="shared" si="1"/>
        <v>59</v>
      </c>
      <c r="C65" s="58">
        <f>_xlfn.XLOOKUP('3_Parameters'!$B65,'2_Data'!$A$25:$A$125,'2_Data'!$B$25:$B$125)</f>
        <v>7.2360000000000002E-3</v>
      </c>
      <c r="D65" s="60">
        <f>_xlfn.XLOOKUP('3_Parameters'!$B65,'2_Data'!$A$25:$A$125,'2_Data'!$C$25:$C$125)</f>
        <v>4.6259999999999999E-3</v>
      </c>
      <c r="E65" s="70">
        <f t="shared" si="0"/>
        <v>6.8706000000000001E-3</v>
      </c>
    </row>
    <row r="66" spans="1:5">
      <c r="A66" s="68">
        <v>14</v>
      </c>
      <c r="B66" s="8">
        <f t="shared" si="1"/>
        <v>60</v>
      </c>
      <c r="C66" s="58">
        <f>_xlfn.XLOOKUP('3_Parameters'!$B66,'2_Data'!$A$25:$A$125,'2_Data'!$B$25:$B$125)</f>
        <v>7.7609999999999997E-3</v>
      </c>
      <c r="D66" s="60">
        <f>_xlfn.XLOOKUP('3_Parameters'!$B66,'2_Data'!$A$25:$A$125,'2_Data'!$C$25:$C$125)</f>
        <v>5.019E-3</v>
      </c>
      <c r="E66" s="70">
        <f t="shared" si="0"/>
        <v>7.3771199999999992E-3</v>
      </c>
    </row>
    <row r="67" spans="1:5">
      <c r="A67" s="68">
        <v>15</v>
      </c>
      <c r="B67" s="8">
        <f t="shared" si="1"/>
        <v>61</v>
      </c>
      <c r="C67" s="58">
        <f>_xlfn.XLOOKUP('3_Parameters'!$B67,'2_Data'!$A$25:$A$125,'2_Data'!$B$25:$B$125)</f>
        <v>8.5559999999999994E-3</v>
      </c>
      <c r="D67" s="60">
        <f>_xlfn.XLOOKUP('3_Parameters'!$B67,'2_Data'!$A$25:$A$125,'2_Data'!$C$25:$C$125)</f>
        <v>5.4339999999999996E-3</v>
      </c>
      <c r="E67" s="70">
        <f t="shared" si="0"/>
        <v>8.1189199999999982E-3</v>
      </c>
    </row>
    <row r="68" spans="1:5">
      <c r="A68" s="68">
        <v>16</v>
      </c>
      <c r="B68" s="8">
        <f t="shared" si="1"/>
        <v>62</v>
      </c>
      <c r="C68" s="58">
        <f>_xlfn.XLOOKUP('3_Parameters'!$B68,'2_Data'!$A$25:$A$125,'2_Data'!$B$25:$B$125)</f>
        <v>9.2919999999999999E-3</v>
      </c>
      <c r="D68" s="60">
        <f>_xlfn.XLOOKUP('3_Parameters'!$B68,'2_Data'!$A$25:$A$125,'2_Data'!$C$25:$C$125)</f>
        <v>6.0689999999999997E-3</v>
      </c>
      <c r="E68" s="70">
        <f t="shared" si="0"/>
        <v>8.8407799999999995E-3</v>
      </c>
    </row>
    <row r="69" spans="1:5">
      <c r="A69" s="68">
        <v>17</v>
      </c>
      <c r="B69" s="8">
        <f t="shared" si="1"/>
        <v>63</v>
      </c>
      <c r="C69" s="58">
        <f>_xlfn.XLOOKUP('3_Parameters'!$B69,'2_Data'!$A$25:$A$125,'2_Data'!$B$25:$B$125)</f>
        <v>1.0033E-2</v>
      </c>
      <c r="D69" s="60">
        <f>_xlfn.XLOOKUP('3_Parameters'!$B69,'2_Data'!$A$25:$A$125,'2_Data'!$C$25:$C$125)</f>
        <v>6.7080000000000004E-3</v>
      </c>
      <c r="E69" s="70">
        <f t="shared" si="0"/>
        <v>9.5674999999999996E-3</v>
      </c>
    </row>
    <row r="70" spans="1:5">
      <c r="A70" s="68">
        <v>18</v>
      </c>
      <c r="B70" s="8">
        <f t="shared" si="1"/>
        <v>64</v>
      </c>
      <c r="C70" s="58">
        <f>_xlfn.XLOOKUP('3_Parameters'!$B70,'2_Data'!$A$25:$A$125,'2_Data'!$B$25:$B$125)</f>
        <v>1.1172E-2</v>
      </c>
      <c r="D70" s="60">
        <f>_xlfn.XLOOKUP('3_Parameters'!$B70,'2_Data'!$A$25:$A$125,'2_Data'!$C$25:$C$125)</f>
        <v>7.3220000000000004E-3</v>
      </c>
      <c r="E70" s="70">
        <f t="shared" si="0"/>
        <v>1.0632999999999998E-2</v>
      </c>
    </row>
    <row r="71" spans="1:5">
      <c r="A71" s="68">
        <v>19</v>
      </c>
      <c r="B71" s="8">
        <f t="shared" si="1"/>
        <v>65</v>
      </c>
      <c r="C71" s="58">
        <f>_xlfn.XLOOKUP('3_Parameters'!$B71,'2_Data'!$A$25:$A$125,'2_Data'!$B$25:$B$125)</f>
        <v>1.1976000000000001E-2</v>
      </c>
      <c r="D71" s="60">
        <f>_xlfn.XLOOKUP('3_Parameters'!$B71,'2_Data'!$A$25:$A$125,'2_Data'!$C$25:$C$125)</f>
        <v>7.9430000000000004E-3</v>
      </c>
      <c r="E71" s="70">
        <f t="shared" si="0"/>
        <v>1.141138E-2</v>
      </c>
    </row>
    <row r="72" spans="1:5">
      <c r="A72" s="68">
        <v>20</v>
      </c>
      <c r="B72" s="8">
        <f t="shared" si="1"/>
        <v>66</v>
      </c>
      <c r="C72" s="58">
        <f>_xlfn.XLOOKUP('3_Parameters'!$B72,'2_Data'!$A$25:$A$125,'2_Data'!$B$25:$B$125)</f>
        <v>1.3403999999999999E-2</v>
      </c>
      <c r="D72" s="60">
        <f>_xlfn.XLOOKUP('3_Parameters'!$B72,'2_Data'!$A$25:$A$125,'2_Data'!$C$25:$C$125)</f>
        <v>8.9519999999999999E-3</v>
      </c>
      <c r="E72" s="70">
        <f t="shared" si="0"/>
        <v>1.2780720000000001E-2</v>
      </c>
    </row>
    <row r="73" spans="1:5">
      <c r="A73" s="68">
        <v>21</v>
      </c>
      <c r="B73" s="8">
        <f t="shared" si="1"/>
        <v>67</v>
      </c>
      <c r="C73" s="58">
        <f>_xlfn.XLOOKUP('3_Parameters'!$B73,'2_Data'!$A$25:$A$125,'2_Data'!$B$25:$B$125)</f>
        <v>1.4795000000000001E-2</v>
      </c>
      <c r="D73" s="60">
        <f>_xlfn.XLOOKUP('3_Parameters'!$B73,'2_Data'!$A$25:$A$125,'2_Data'!$C$25:$C$125)</f>
        <v>9.8709999999999996E-3</v>
      </c>
      <c r="E73" s="70">
        <f t="shared" si="0"/>
        <v>1.4105640000000001E-2</v>
      </c>
    </row>
    <row r="74" spans="1:5">
      <c r="A74" s="68">
        <v>22</v>
      </c>
      <c r="B74" s="8">
        <f t="shared" si="1"/>
        <v>68</v>
      </c>
      <c r="C74" s="58">
        <f>_xlfn.XLOOKUP('3_Parameters'!$B74,'2_Data'!$A$25:$A$125,'2_Data'!$B$25:$B$125)</f>
        <v>1.6279999999999999E-2</v>
      </c>
      <c r="D74" s="60">
        <f>_xlfn.XLOOKUP('3_Parameters'!$B74,'2_Data'!$A$25:$A$125,'2_Data'!$C$25:$C$125)</f>
        <v>1.0777E-2</v>
      </c>
      <c r="E74" s="70">
        <f t="shared" si="0"/>
        <v>1.5509579999999999E-2</v>
      </c>
    </row>
    <row r="75" spans="1:5">
      <c r="A75" s="68">
        <v>23</v>
      </c>
      <c r="B75" s="8">
        <f t="shared" si="1"/>
        <v>69</v>
      </c>
      <c r="C75" s="58">
        <f>_xlfn.XLOOKUP('3_Parameters'!$B75,'2_Data'!$A$25:$A$125,'2_Data'!$B$25:$B$125)</f>
        <v>1.7595E-2</v>
      </c>
      <c r="D75" s="60">
        <f>_xlfn.XLOOKUP('3_Parameters'!$B75,'2_Data'!$A$25:$A$125,'2_Data'!$C$25:$C$125)</f>
        <v>1.166E-2</v>
      </c>
      <c r="E75" s="70">
        <f t="shared" si="0"/>
        <v>1.6764100000000001E-2</v>
      </c>
    </row>
    <row r="76" spans="1:5">
      <c r="A76" s="68">
        <v>24</v>
      </c>
      <c r="B76" s="8">
        <f t="shared" si="1"/>
        <v>70</v>
      </c>
      <c r="C76" s="58">
        <f>_xlfn.XLOOKUP('3_Parameters'!$B76,'2_Data'!$A$25:$A$125,'2_Data'!$B$25:$B$125)</f>
        <v>1.9526999999999999E-2</v>
      </c>
      <c r="D76" s="60">
        <f>_xlfn.XLOOKUP('3_Parameters'!$B76,'2_Data'!$A$25:$A$125,'2_Data'!$C$25:$C$125)</f>
        <v>1.2715000000000001E-2</v>
      </c>
      <c r="E76" s="70">
        <f t="shared" si="0"/>
        <v>1.8573319999999997E-2</v>
      </c>
    </row>
    <row r="77" spans="1:5">
      <c r="A77" s="68">
        <v>25</v>
      </c>
      <c r="B77" s="8">
        <f t="shared" si="1"/>
        <v>71</v>
      </c>
      <c r="C77" s="58">
        <f>_xlfn.XLOOKUP('3_Parameters'!$B77,'2_Data'!$A$25:$A$125,'2_Data'!$B$25:$B$125)</f>
        <v>2.1506000000000001E-2</v>
      </c>
      <c r="D77" s="60">
        <f>_xlfn.XLOOKUP('3_Parameters'!$B77,'2_Data'!$A$25:$A$125,'2_Data'!$C$25:$C$125)</f>
        <v>1.3834000000000001E-2</v>
      </c>
      <c r="E77" s="70">
        <f t="shared" si="0"/>
        <v>2.0431919999999999E-2</v>
      </c>
    </row>
    <row r="78" spans="1:5">
      <c r="A78" s="68">
        <v>26</v>
      </c>
      <c r="B78" s="8">
        <f t="shared" si="1"/>
        <v>72</v>
      </c>
      <c r="C78" s="58">
        <f>_xlfn.XLOOKUP('3_Parameters'!$B78,'2_Data'!$A$25:$A$125,'2_Data'!$B$25:$B$125)</f>
        <v>2.3614E-2</v>
      </c>
      <c r="D78" s="60">
        <f>_xlfn.XLOOKUP('3_Parameters'!$B78,'2_Data'!$A$25:$A$125,'2_Data'!$C$25:$C$125)</f>
        <v>1.5504E-2</v>
      </c>
      <c r="E78" s="70">
        <f t="shared" si="0"/>
        <v>2.2478600000000001E-2</v>
      </c>
    </row>
    <row r="79" spans="1:5">
      <c r="A79" s="68">
        <v>27</v>
      </c>
      <c r="B79" s="8">
        <f t="shared" si="1"/>
        <v>73</v>
      </c>
      <c r="C79" s="58">
        <f>_xlfn.XLOOKUP('3_Parameters'!$B79,'2_Data'!$A$25:$A$125,'2_Data'!$B$25:$B$125)</f>
        <v>2.5472999999999999E-2</v>
      </c>
      <c r="D79" s="60">
        <f>_xlfn.XLOOKUP('3_Parameters'!$B79,'2_Data'!$A$25:$A$125,'2_Data'!$C$25:$C$125)</f>
        <v>1.7044E-2</v>
      </c>
      <c r="E79" s="70">
        <f t="shared" si="0"/>
        <v>2.4292939999999999E-2</v>
      </c>
    </row>
    <row r="80" spans="1:5">
      <c r="A80" s="68">
        <v>28</v>
      </c>
      <c r="B80" s="8">
        <f t="shared" si="1"/>
        <v>74</v>
      </c>
      <c r="C80" s="58">
        <f>_xlfn.XLOOKUP('3_Parameters'!$B80,'2_Data'!$A$25:$A$125,'2_Data'!$B$25:$B$125)</f>
        <v>2.7789000000000001E-2</v>
      </c>
      <c r="D80" s="60">
        <f>_xlfn.XLOOKUP('3_Parameters'!$B80,'2_Data'!$A$25:$A$125,'2_Data'!$C$25:$C$125)</f>
        <v>1.8775E-2</v>
      </c>
      <c r="E80" s="70">
        <f t="shared" si="0"/>
        <v>2.6527039999999998E-2</v>
      </c>
    </row>
    <row r="81" spans="1:6">
      <c r="A81" s="68">
        <v>29</v>
      </c>
      <c r="B81" s="8">
        <f t="shared" si="1"/>
        <v>75</v>
      </c>
      <c r="C81" s="58">
        <f>_xlfn.XLOOKUP('3_Parameters'!$B81,'2_Data'!$A$25:$A$125,'2_Data'!$B$25:$B$125)</f>
        <v>3.0318999999999999E-2</v>
      </c>
      <c r="D81" s="60">
        <f>_xlfn.XLOOKUP('3_Parameters'!$B81,'2_Data'!$A$25:$A$125,'2_Data'!$C$25:$C$125)</f>
        <v>2.1031999999999999E-2</v>
      </c>
      <c r="E81" s="70">
        <f t="shared" si="0"/>
        <v>2.9018819999999997E-2</v>
      </c>
    </row>
    <row r="82" spans="1:6">
      <c r="A82" s="74">
        <v>30</v>
      </c>
      <c r="B82" s="75">
        <f t="shared" si="1"/>
        <v>76</v>
      </c>
      <c r="C82" s="76">
        <f>_xlfn.XLOOKUP('3_Parameters'!$B82,'2_Data'!$A$25:$A$125,'2_Data'!$B$25:$B$125)</f>
        <v>3.3748E-2</v>
      </c>
      <c r="D82" s="77">
        <f>_xlfn.XLOOKUP('3_Parameters'!$B82,'2_Data'!$A$25:$A$125,'2_Data'!$C$25:$C$125)</f>
        <v>2.3224999999999999E-2</v>
      </c>
      <c r="E82" s="78">
        <f t="shared" si="0"/>
        <v>3.2274779999999996E-2</v>
      </c>
    </row>
    <row r="83" spans="1:6">
      <c r="A83" s="74">
        <v>31</v>
      </c>
      <c r="B83" s="75">
        <f>ROUND(B82,0)+1</f>
        <v>77</v>
      </c>
      <c r="C83" s="76">
        <f>_xlfn.XLOOKUP('3_Parameters'!$B83,'2_Data'!$A$25:$A$125,'2_Data'!$B$25:$B$125)</f>
        <v>3.7142000000000001E-2</v>
      </c>
      <c r="D83" s="77">
        <f>_xlfn.XLOOKUP('3_Parameters'!$B83,'2_Data'!$A$25:$A$125,'2_Data'!$C$25:$C$125)</f>
        <v>2.6162000000000001E-2</v>
      </c>
      <c r="E83" s="78">
        <f t="shared" si="0"/>
        <v>3.5604799999999999E-2</v>
      </c>
    </row>
    <row r="85" spans="1:6" s="7" customFormat="1" ht="31.5">
      <c r="A85" s="7" t="s">
        <v>205</v>
      </c>
      <c r="D85" s="6"/>
      <c r="E85" s="28"/>
    </row>
    <row r="87" spans="1:6">
      <c r="A87" s="112" t="s">
        <v>146</v>
      </c>
      <c r="B87" s="113" t="s">
        <v>206</v>
      </c>
      <c r="C87" s="113" t="s">
        <v>207</v>
      </c>
      <c r="D87" s="113" t="s">
        <v>208</v>
      </c>
      <c r="E87" s="113" t="s">
        <v>209</v>
      </c>
      <c r="F87" s="122" t="s">
        <v>210</v>
      </c>
    </row>
    <row r="88" spans="1:6">
      <c r="A88" s="128" t="s">
        <v>211</v>
      </c>
      <c r="B88" s="36"/>
      <c r="C88" s="36"/>
      <c r="D88" s="36"/>
      <c r="E88" s="36"/>
      <c r="F88" s="39"/>
    </row>
    <row r="89" spans="1:6">
      <c r="A89" s="110" t="s">
        <v>147</v>
      </c>
      <c r="B89" s="56">
        <f>n_cohort</f>
        <v>1000</v>
      </c>
      <c r="C89" s="36" t="s">
        <v>176</v>
      </c>
      <c r="D89" s="36" t="s">
        <v>176</v>
      </c>
      <c r="E89" s="36" t="s">
        <v>212</v>
      </c>
      <c r="F89" s="39" t="s">
        <v>213</v>
      </c>
    </row>
    <row r="90" spans="1:6">
      <c r="A90" s="110" t="s">
        <v>153</v>
      </c>
      <c r="B90" s="36">
        <f>age_start</f>
        <v>47.1</v>
      </c>
      <c r="C90" s="36">
        <v>35</v>
      </c>
      <c r="D90" s="36">
        <v>60</v>
      </c>
      <c r="E90" s="36" t="s">
        <v>212</v>
      </c>
      <c r="F90" s="39" t="s">
        <v>214</v>
      </c>
    </row>
    <row r="91" spans="1:6">
      <c r="A91" s="110" t="s">
        <v>154</v>
      </c>
      <c r="B91" s="36">
        <f>B12</f>
        <v>0.86</v>
      </c>
      <c r="C91" s="36" t="s">
        <v>176</v>
      </c>
      <c r="D91" s="36" t="s">
        <v>176</v>
      </c>
      <c r="E91" s="36" t="s">
        <v>212</v>
      </c>
      <c r="F91" s="39" t="s">
        <v>215</v>
      </c>
    </row>
    <row r="92" spans="1:6">
      <c r="A92" s="110" t="s">
        <v>95</v>
      </c>
      <c r="B92" s="36">
        <f>horizon</f>
        <v>30</v>
      </c>
      <c r="C92" s="36" t="s">
        <v>176</v>
      </c>
      <c r="D92" s="36" t="s">
        <v>176</v>
      </c>
      <c r="E92" s="36" t="s">
        <v>212</v>
      </c>
      <c r="F92" s="39" t="s">
        <v>216</v>
      </c>
    </row>
    <row r="93" spans="1:6">
      <c r="A93" s="110" t="s">
        <v>217</v>
      </c>
      <c r="B93" s="57">
        <f>disc</f>
        <v>3.5000000000000003E-2</v>
      </c>
      <c r="C93" s="63">
        <v>0</v>
      </c>
      <c r="D93" s="63">
        <v>0.06</v>
      </c>
      <c r="E93" s="36" t="s">
        <v>212</v>
      </c>
      <c r="F93" s="39" t="s">
        <v>218</v>
      </c>
    </row>
    <row r="94" spans="1:6">
      <c r="A94" s="128" t="s">
        <v>71</v>
      </c>
      <c r="B94" s="64"/>
      <c r="C94" s="64"/>
      <c r="D94" s="64"/>
      <c r="E94" s="64"/>
      <c r="F94" s="66"/>
    </row>
    <row r="95" spans="1:6">
      <c r="A95" s="110" t="s">
        <v>219</v>
      </c>
      <c r="B95" s="36">
        <f>RR</f>
        <v>0.67613636363636354</v>
      </c>
      <c r="C95" s="36">
        <v>0.5</v>
      </c>
      <c r="D95" s="36">
        <v>0.9</v>
      </c>
      <c r="E95" s="36" t="s">
        <v>220</v>
      </c>
      <c r="F95" s="39" t="s">
        <v>221</v>
      </c>
    </row>
    <row r="96" spans="1:6">
      <c r="A96" s="128" t="s">
        <v>222</v>
      </c>
      <c r="B96" s="36"/>
      <c r="C96" s="36"/>
      <c r="D96" s="36"/>
      <c r="E96" s="36"/>
      <c r="F96" s="39"/>
    </row>
    <row r="97" spans="1:6">
      <c r="A97" s="131" t="s">
        <v>223</v>
      </c>
      <c r="B97" s="36">
        <f>u_1</f>
        <v>0.76</v>
      </c>
      <c r="C97" s="36">
        <v>0.71</v>
      </c>
      <c r="D97" s="36">
        <v>0.81</v>
      </c>
      <c r="E97" s="36" t="s">
        <v>224</v>
      </c>
      <c r="F97" s="39" t="s">
        <v>225</v>
      </c>
    </row>
    <row r="98" spans="1:6">
      <c r="A98" s="110" t="s">
        <v>226</v>
      </c>
      <c r="B98" s="36">
        <f>dec_2</f>
        <v>0.05</v>
      </c>
      <c r="C98" s="36">
        <v>2.5000000000000001E-2</v>
      </c>
      <c r="D98" s="36">
        <v>7.4999999999999997E-2</v>
      </c>
      <c r="E98" s="36" t="s">
        <v>227</v>
      </c>
      <c r="F98" s="39" t="s">
        <v>228</v>
      </c>
    </row>
    <row r="99" spans="1:6">
      <c r="A99" s="110" t="s">
        <v>229</v>
      </c>
      <c r="B99" s="36">
        <f>dec_3</f>
        <v>0.15</v>
      </c>
      <c r="C99" s="36">
        <v>7.4999999999999997E-2</v>
      </c>
      <c r="D99" s="36">
        <v>0.22500000000000001</v>
      </c>
      <c r="E99" s="36" t="s">
        <v>227</v>
      </c>
      <c r="F99" s="39" t="s">
        <v>228</v>
      </c>
    </row>
    <row r="100" spans="1:6">
      <c r="A100" s="128" t="s">
        <v>230</v>
      </c>
      <c r="B100" s="64"/>
      <c r="C100" s="64"/>
      <c r="D100" s="64"/>
      <c r="E100" s="64"/>
      <c r="F100" s="66"/>
    </row>
    <row r="101" spans="1:6">
      <c r="A101" s="110" t="s">
        <v>231</v>
      </c>
      <c r="B101" s="42">
        <f>B$43</f>
        <v>203</v>
      </c>
      <c r="C101" s="65">
        <v>152</v>
      </c>
      <c r="D101" s="65">
        <v>254</v>
      </c>
      <c r="E101" s="36" t="s">
        <v>227</v>
      </c>
      <c r="F101" s="39" t="s">
        <v>232</v>
      </c>
    </row>
    <row r="102" spans="1:6">
      <c r="A102" s="110" t="s">
        <v>233</v>
      </c>
      <c r="B102" s="42">
        <f>$B$44</f>
        <v>1685</v>
      </c>
      <c r="C102" s="65">
        <v>1264</v>
      </c>
      <c r="D102" s="65">
        <v>2106</v>
      </c>
      <c r="E102" s="36" t="s">
        <v>227</v>
      </c>
      <c r="F102" s="39" t="s">
        <v>232</v>
      </c>
    </row>
    <row r="103" spans="1:6">
      <c r="A103" s="110" t="s">
        <v>234</v>
      </c>
      <c r="B103" s="42">
        <f>$B$45</f>
        <v>2725</v>
      </c>
      <c r="C103" s="65">
        <v>2044</v>
      </c>
      <c r="D103" s="65">
        <v>3406</v>
      </c>
      <c r="E103" s="36" t="s">
        <v>227</v>
      </c>
      <c r="F103" s="39" t="s">
        <v>232</v>
      </c>
    </row>
    <row r="104" spans="1:6">
      <c r="A104" s="110" t="s">
        <v>235</v>
      </c>
      <c r="B104" s="63">
        <f>E45</f>
        <v>0.1</v>
      </c>
      <c r="C104" s="63">
        <v>0.05</v>
      </c>
      <c r="D104" s="63">
        <v>0.3</v>
      </c>
      <c r="E104" s="36" t="s">
        <v>224</v>
      </c>
      <c r="F104" s="39" t="s">
        <v>236</v>
      </c>
    </row>
    <row r="105" spans="1:6">
      <c r="A105" s="110" t="s">
        <v>237</v>
      </c>
      <c r="B105" t="s">
        <v>273</v>
      </c>
      <c r="C105" s="36" t="s">
        <v>176</v>
      </c>
      <c r="D105" s="36" t="s">
        <v>176</v>
      </c>
      <c r="E105" s="36" t="s">
        <v>212</v>
      </c>
      <c r="F105" s="39" t="s">
        <v>173</v>
      </c>
    </row>
    <row r="106" spans="1:6">
      <c r="A106" s="128" t="s">
        <v>238</v>
      </c>
      <c r="B106" s="64"/>
      <c r="C106" s="64"/>
      <c r="D106" s="64"/>
      <c r="E106" s="64"/>
      <c r="F106" s="66"/>
    </row>
    <row r="107" spans="1:6">
      <c r="A107" s="131" t="s">
        <v>239</v>
      </c>
      <c r="B107" s="65">
        <f>c_eve</f>
        <v>5420.25</v>
      </c>
      <c r="C107" s="65"/>
      <c r="D107" s="65"/>
      <c r="E107" s="36" t="s">
        <v>212</v>
      </c>
      <c r="F107" t="s">
        <v>247</v>
      </c>
    </row>
    <row r="108" spans="1:6">
      <c r="A108" s="131" t="s">
        <v>240</v>
      </c>
      <c r="B108" s="65">
        <f>c_aza</f>
        <v>27.374999999999996</v>
      </c>
      <c r="C108" s="65"/>
      <c r="D108" s="65"/>
      <c r="E108" s="36" t="s">
        <v>212</v>
      </c>
      <c r="F108" t="s">
        <v>247</v>
      </c>
    </row>
    <row r="109" spans="1:6">
      <c r="A109" s="128" t="s">
        <v>73</v>
      </c>
      <c r="B109" s="36" t="s">
        <v>241</v>
      </c>
      <c r="C109" s="36" t="s">
        <v>176</v>
      </c>
      <c r="D109" s="36" t="s">
        <v>176</v>
      </c>
      <c r="E109" s="36" t="s">
        <v>242</v>
      </c>
      <c r="F109" s="39" t="s">
        <v>243</v>
      </c>
    </row>
    <row r="110" spans="1:6">
      <c r="A110" s="132" t="s">
        <v>244</v>
      </c>
      <c r="B110" s="115" t="s">
        <v>245</v>
      </c>
      <c r="C110" s="115" t="s">
        <v>176</v>
      </c>
      <c r="D110" s="115" t="s">
        <v>176</v>
      </c>
      <c r="E110" s="115" t="s">
        <v>212</v>
      </c>
      <c r="F110" s="133" t="s">
        <v>246</v>
      </c>
    </row>
  </sheetData>
  <hyperlinks>
    <hyperlink ref="E26" r:id="rId1" xr:uid="{7DB2118D-CC86-461E-8EA2-2BCB2B56A87F}"/>
    <hyperlink ref="E27" r:id="rId2" xr:uid="{9C7253AD-8AA9-458B-BB47-E6FD63E87180}"/>
    <hyperlink ref="C33" r:id="rId3" xr:uid="{79A52D41-7A5E-43E5-B075-D4D8441B3EFE}"/>
    <hyperlink ref="F43" r:id="rId4" display="https://kar.kent.ac.uk/115569/" xr:uid="{A64BC44A-4DD9-4AAE-91A4-AEABE73ADD5D}"/>
    <hyperlink ref="F44" r:id="rId5" display="https://www.nice.org.uk/guidance/mtg32/chapter/5-Cost-considerations" xr:uid="{6CD344CB-A02C-462D-94CA-8C31ACC8E32E}"/>
    <hyperlink ref="F45" r:id="rId6" display="https://pmc.ncbi.nlm.nih.gov/articles/PMC7875263" xr:uid="{DF40BD16-C32F-463E-BCB3-87546822E585}"/>
  </hyperlinks>
  <pageMargins left="0.7" right="0.7" top="0.75" bottom="0.75" header="0.3" footer="0.3"/>
  <tableParts count="7"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AF68-7E42-4D5F-AB6D-6ADF7579D170}">
  <dimension ref="A1:J16"/>
  <sheetViews>
    <sheetView workbookViewId="0"/>
  </sheetViews>
  <sheetFormatPr defaultRowHeight="15"/>
  <cols>
    <col min="1" max="1" width="34.7109375" bestFit="1" customWidth="1"/>
  </cols>
  <sheetData>
    <row r="1" spans="1:10" s="7" customFormat="1" ht="31.5">
      <c r="A1" s="7" t="s">
        <v>285</v>
      </c>
      <c r="D1" s="6"/>
      <c r="J1" s="6" t="s">
        <v>274</v>
      </c>
    </row>
    <row r="3" spans="1:10" ht="15.75" thickBot="1">
      <c r="A3" s="71" t="s">
        <v>123</v>
      </c>
      <c r="B3" s="72" t="s">
        <v>122</v>
      </c>
      <c r="C3" s="72" t="s">
        <v>121</v>
      </c>
      <c r="D3" s="72" t="s">
        <v>120</v>
      </c>
      <c r="E3" s="73" t="s">
        <v>119</v>
      </c>
    </row>
    <row r="4" spans="1:10">
      <c r="A4" s="67" t="s">
        <v>124</v>
      </c>
      <c r="B4" s="91">
        <f>1-SUM(C4:E4)</f>
        <v>0.86784470701645489</v>
      </c>
      <c r="C4" s="91">
        <f>1-(1-'2_Data'!C14/'2_Data'!$F14)^(1/mean_gap)</f>
        <v>6.7443879774658932E-2</v>
      </c>
      <c r="D4" s="91">
        <f>1-(1-'2_Data'!D14/'2_Data'!$F14)^(1/mean_gap)</f>
        <v>1.4327072733575807E-2</v>
      </c>
      <c r="E4" s="134">
        <f>1-(1-'2_Data'!E14/'2_Data'!$F14)^(1/mean_gap)</f>
        <v>5.0384340475310374E-2</v>
      </c>
      <c r="F4" s="40"/>
    </row>
    <row r="5" spans="1:10">
      <c r="A5" s="68" t="s">
        <v>125</v>
      </c>
      <c r="B5" s="33">
        <f>1-(1-'2_Data'!B15/'2_Data'!$F15)^(1/mean_gap)</f>
        <v>0</v>
      </c>
      <c r="C5" s="33">
        <f>1-SUM(B5,D5,E5)</f>
        <v>0.80291483287501686</v>
      </c>
      <c r="D5" s="33">
        <f>1-(1-'2_Data'!D15/'2_Data'!$F15)^(1/mean_gap)</f>
        <v>0.10157220299646619</v>
      </c>
      <c r="E5" s="135">
        <f>1-(1-'2_Data'!E15/'2_Data'!$F15)^(1/mean_gap)</f>
        <v>9.5512964128516953E-2</v>
      </c>
      <c r="F5" s="40"/>
    </row>
    <row r="6" spans="1:10">
      <c r="A6" s="68" t="s">
        <v>126</v>
      </c>
      <c r="B6" s="33">
        <f>1-(1-'2_Data'!B16/'2_Data'!$F16)^(1/mean_gap)</f>
        <v>0</v>
      </c>
      <c r="C6" s="33">
        <f>1-(1-'2_Data'!C16/'2_Data'!$F16)^(1/mean_gap)</f>
        <v>0</v>
      </c>
      <c r="D6" s="33">
        <f>1-SUM(B6,C6,E6)</f>
        <v>0.79836448778485036</v>
      </c>
      <c r="E6" s="135">
        <f>1-(1-'2_Data'!E16/'2_Data'!$F16)^(1/mean_gap)</f>
        <v>0.20163551221514964</v>
      </c>
      <c r="F6" s="40"/>
    </row>
    <row r="7" spans="1:10">
      <c r="A7" s="74" t="s">
        <v>129</v>
      </c>
      <c r="B7" s="136">
        <v>0</v>
      </c>
      <c r="C7" s="136">
        <v>0</v>
      </c>
      <c r="D7" s="136">
        <v>0</v>
      </c>
      <c r="E7" s="137">
        <f>1-SUM(B7:D7)</f>
        <v>1</v>
      </c>
      <c r="F7" s="40"/>
    </row>
    <row r="10" spans="1:10" s="7" customFormat="1" ht="31.5">
      <c r="A10" s="7" t="s">
        <v>286</v>
      </c>
      <c r="D10" s="6"/>
      <c r="J10" s="6" t="s">
        <v>144</v>
      </c>
    </row>
    <row r="12" spans="1:10" ht="15.75" thickBot="1">
      <c r="A12" s="71" t="s">
        <v>123</v>
      </c>
      <c r="B12" s="72" t="s">
        <v>122</v>
      </c>
      <c r="C12" s="72" t="s">
        <v>121</v>
      </c>
      <c r="D12" s="72" t="s">
        <v>120</v>
      </c>
      <c r="E12" s="73" t="s">
        <v>119</v>
      </c>
    </row>
    <row r="13" spans="1:10">
      <c r="A13" s="138" t="s">
        <v>124</v>
      </c>
      <c r="B13" s="92">
        <f>1-SUM(C13:E13)</f>
        <v>0.89432734504469003</v>
      </c>
      <c r="C13" s="11" cm="1">
        <f t="array" ref="C13">Az_12*RR</f>
        <v>4.5601259620365979E-2</v>
      </c>
      <c r="D13" s="11">
        <f>Az_13*RR</f>
        <v>9.6870548596336408E-3</v>
      </c>
      <c r="E13" s="81">
        <f>Az_14</f>
        <v>5.0384340475310374E-2</v>
      </c>
      <c r="F13" s="40"/>
    </row>
    <row r="14" spans="1:10">
      <c r="A14" s="139" t="s">
        <v>125</v>
      </c>
      <c r="B14" s="93">
        <f>Az_21</f>
        <v>0</v>
      </c>
      <c r="C14" s="33">
        <f>1-SUM(B14,E14,D14)</f>
        <v>0.80291483287501686</v>
      </c>
      <c r="D14" s="33">
        <f>Az_23</f>
        <v>0.10157220299646619</v>
      </c>
      <c r="E14" s="135">
        <f>Az_24</f>
        <v>9.5512964128516953E-2</v>
      </c>
      <c r="F14" s="40"/>
    </row>
    <row r="15" spans="1:10">
      <c r="A15" s="139" t="s">
        <v>126</v>
      </c>
      <c r="B15" s="93">
        <f>Az_31</f>
        <v>0</v>
      </c>
      <c r="C15" s="33">
        <f>Az_32</f>
        <v>0</v>
      </c>
      <c r="D15" s="33">
        <f>1-SUM(B15:C15,ev_34)</f>
        <v>0.79836448778485036</v>
      </c>
      <c r="E15" s="135">
        <f>Az_34</f>
        <v>0.20163551221514964</v>
      </c>
      <c r="F15" s="40"/>
    </row>
    <row r="16" spans="1:10">
      <c r="A16" s="117" t="s">
        <v>129</v>
      </c>
      <c r="B16" s="140">
        <f>Az_41</f>
        <v>0</v>
      </c>
      <c r="C16" s="136">
        <f>Az_42</f>
        <v>0</v>
      </c>
      <c r="D16" s="136">
        <f>Az_43</f>
        <v>0</v>
      </c>
      <c r="E16" s="137">
        <f>1-SUM(B16:D16)</f>
        <v>1</v>
      </c>
      <c r="F16" s="40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C56B-5CD0-4F37-BE1A-29F23F191F92}">
  <dimension ref="A1:AA39"/>
  <sheetViews>
    <sheetView workbookViewId="0">
      <selection activeCell="F46" sqref="F46"/>
    </sheetView>
  </sheetViews>
  <sheetFormatPr defaultRowHeight="15"/>
  <cols>
    <col min="1" max="1" width="26.85546875" customWidth="1"/>
    <col min="3" max="3" width="9.5703125" bestFit="1" customWidth="1"/>
    <col min="4" max="4" width="10.28515625" bestFit="1" customWidth="1"/>
    <col min="8" max="8" width="5.5703125" bestFit="1" customWidth="1"/>
    <col min="9" max="9" width="23.85546875" bestFit="1" customWidth="1"/>
    <col min="10" max="10" width="5.5703125" bestFit="1" customWidth="1"/>
    <col min="11" max="11" width="23" bestFit="1" customWidth="1"/>
    <col min="12" max="12" width="14.28515625" bestFit="1" customWidth="1"/>
    <col min="13" max="14" width="12.5703125" bestFit="1" customWidth="1"/>
    <col min="15" max="15" width="13" bestFit="1" customWidth="1"/>
    <col min="16" max="16" width="14.5703125" bestFit="1" customWidth="1"/>
    <col min="17" max="17" width="17.140625" bestFit="1" customWidth="1"/>
    <col min="18" max="18" width="16.140625" bestFit="1" customWidth="1"/>
    <col min="23" max="23" width="10.5703125" bestFit="1" customWidth="1"/>
    <col min="24" max="24" width="11.28515625" bestFit="1" customWidth="1"/>
    <col min="26" max="26" width="16.42578125" bestFit="1" customWidth="1"/>
    <col min="27" max="27" width="14.42578125" bestFit="1" customWidth="1"/>
  </cols>
  <sheetData>
    <row r="1" spans="1:27" s="94" customFormat="1" ht="31.5">
      <c r="A1" s="94" t="s">
        <v>275</v>
      </c>
      <c r="D1" s="95"/>
      <c r="H1" s="96"/>
      <c r="I1" s="95"/>
    </row>
    <row r="2" spans="1:27" s="94" customFormat="1" ht="17.25" customHeight="1">
      <c r="A2" s="97" t="s">
        <v>276</v>
      </c>
    </row>
    <row r="4" spans="1:27" ht="32.25" thickBot="1">
      <c r="A4" s="94" t="s">
        <v>277</v>
      </c>
      <c r="B4" s="94"/>
      <c r="C4" s="94"/>
      <c r="D4" s="94"/>
      <c r="E4" s="94"/>
      <c r="F4" s="94"/>
      <c r="G4" s="94"/>
      <c r="H4" s="94"/>
      <c r="I4" s="94"/>
      <c r="J4" s="94"/>
      <c r="L4" s="94" t="s">
        <v>278</v>
      </c>
      <c r="M4" s="94"/>
      <c r="N4" s="94"/>
      <c r="O4" s="94"/>
      <c r="P4" s="94"/>
      <c r="Q4" s="94"/>
      <c r="R4" s="94"/>
      <c r="T4" s="94" t="s">
        <v>279</v>
      </c>
      <c r="U4" s="94"/>
      <c r="V4" s="94"/>
      <c r="W4" s="94"/>
      <c r="X4" s="94"/>
      <c r="Z4" s="94" t="s">
        <v>280</v>
      </c>
      <c r="AA4" s="94"/>
    </row>
    <row r="5" spans="1:27">
      <c r="A5" s="10" t="s">
        <v>200</v>
      </c>
      <c r="B5" s="11" t="s">
        <v>201</v>
      </c>
      <c r="C5" s="11" t="s">
        <v>248</v>
      </c>
      <c r="D5" s="81" t="s">
        <v>249</v>
      </c>
      <c r="E5" s="85" t="s">
        <v>304</v>
      </c>
      <c r="F5" s="86" t="s">
        <v>251</v>
      </c>
      <c r="G5" s="86" t="s">
        <v>252</v>
      </c>
      <c r="H5" s="87" t="s">
        <v>253</v>
      </c>
      <c r="I5" s="67" t="s">
        <v>254</v>
      </c>
      <c r="J5" s="12" t="s">
        <v>255</v>
      </c>
      <c r="L5" s="85" t="s">
        <v>260</v>
      </c>
      <c r="M5" s="86" t="s">
        <v>261</v>
      </c>
      <c r="N5" s="86" t="s">
        <v>262</v>
      </c>
      <c r="O5" s="87" t="s">
        <v>264</v>
      </c>
      <c r="P5" s="67" t="s">
        <v>263</v>
      </c>
      <c r="Q5" s="11" t="s">
        <v>256</v>
      </c>
      <c r="R5" s="12" t="s">
        <v>257</v>
      </c>
      <c r="T5" s="85" t="s">
        <v>265</v>
      </c>
      <c r="U5" s="86" t="s">
        <v>266</v>
      </c>
      <c r="V5" s="86" t="s">
        <v>267</v>
      </c>
      <c r="W5" s="87" t="s">
        <v>268</v>
      </c>
      <c r="X5" s="90" t="s">
        <v>269</v>
      </c>
      <c r="Z5" s="10" t="s">
        <v>258</v>
      </c>
      <c r="AA5" s="12" t="s">
        <v>259</v>
      </c>
    </row>
    <row r="6" spans="1:27">
      <c r="A6" s="23">
        <v>1</v>
      </c>
      <c r="B6" s="8">
        <f t="shared" ref="B6:B36" si="0">ROUND(age_start,0)+(A6-1)</f>
        <v>47</v>
      </c>
      <c r="C6" s="79">
        <f>_xlfn.XLOOKUP(B6,qx_bg[Age],qx_bg[qx weighted])</f>
        <v>2.69032E-3</v>
      </c>
      <c r="D6" s="82" t="b">
        <f t="shared" ref="D6:D36" si="1">C6&lt;Az_14</f>
        <v>1</v>
      </c>
      <c r="E6" s="23">
        <f>n_cohort</f>
        <v>1000</v>
      </c>
      <c r="F6" s="8">
        <v>0</v>
      </c>
      <c r="G6" s="8">
        <v>0</v>
      </c>
      <c r="H6" s="24">
        <v>0</v>
      </c>
      <c r="I6" s="68">
        <f>ROUND(SUM(E6:H6),5)</f>
        <v>1000</v>
      </c>
      <c r="J6" s="24">
        <f>SUM(E6:G6)</f>
        <v>1000</v>
      </c>
      <c r="L6" s="102">
        <f t="shared" ref="L6:L36" si="2">E6*C_1</f>
        <v>2497000</v>
      </c>
      <c r="M6" s="43">
        <f t="shared" ref="M6:M36" si="3">F6*C_2</f>
        <v>0</v>
      </c>
      <c r="N6" s="43">
        <f t="shared" ref="N6:N36" si="4">G6*C_3</f>
        <v>0</v>
      </c>
      <c r="O6" s="103">
        <f t="shared" ref="O6:O36" si="5">H6*C_4</f>
        <v>0</v>
      </c>
      <c r="P6" s="104">
        <f>SUM(L6:O6)</f>
        <v>2497000</v>
      </c>
      <c r="Q6" s="43">
        <f t="shared" ref="Q6:Q36" si="6">J6*c_aza</f>
        <v>27374.999999999996</v>
      </c>
      <c r="R6" s="103">
        <f>P6+Q6</f>
        <v>2524375</v>
      </c>
      <c r="T6" s="23">
        <f t="shared" ref="T6:T36" si="7">E6*u_1</f>
        <v>760</v>
      </c>
      <c r="U6" s="8">
        <f t="shared" ref="U6:U36" si="8">F6*u_2</f>
        <v>0</v>
      </c>
      <c r="V6" s="8">
        <f t="shared" ref="V6:V36" si="9">G6*u_3</f>
        <v>0</v>
      </c>
      <c r="W6" s="24">
        <f t="shared" ref="W6:W36" si="10">H6*u_4</f>
        <v>0</v>
      </c>
      <c r="X6" s="88">
        <f>SUM(T6:W6)</f>
        <v>760</v>
      </c>
      <c r="Z6" s="23">
        <f t="shared" ref="Z6:Z36" si="11">IF(OR(A6=1,A6=horizon+1),0.5,1)</f>
        <v>0.5</v>
      </c>
      <c r="AA6" s="24">
        <f t="shared" ref="AA6:AA36" si="12">1/(1+disc)^(A6-1)</f>
        <v>1</v>
      </c>
    </row>
    <row r="7" spans="1:27">
      <c r="A7" s="23">
        <v>2</v>
      </c>
      <c r="B7" s="8">
        <f t="shared" si="0"/>
        <v>48</v>
      </c>
      <c r="C7" s="79">
        <f>_xlfn.XLOOKUP(B7,qx_bg[Age],qx_bg[qx weighted])</f>
        <v>2.8965599999999998E-3</v>
      </c>
      <c r="D7" s="82" t="b">
        <f t="shared" si="1"/>
        <v>1</v>
      </c>
      <c r="E7" s="23" cm="1">
        <f t="array" ref="E7:H7">MMULT(E6:H6,'4_Transitions'!$B$4:$E$7)</f>
        <v>867.84470701645489</v>
      </c>
      <c r="F7" s="8">
        <v>67.443879774658939</v>
      </c>
      <c r="G7" s="8">
        <v>14.327072733575807</v>
      </c>
      <c r="H7" s="24">
        <v>50.384340475310374</v>
      </c>
      <c r="I7" s="68">
        <f t="shared" ref="I7:I35" si="13">ROUND(SUM(E7:H7),5)</f>
        <v>1000</v>
      </c>
      <c r="J7" s="24">
        <f t="shared" ref="J7:J35" si="14">SUM(E7:G7)</f>
        <v>949.6156595246897</v>
      </c>
      <c r="L7" s="102">
        <f t="shared" si="2"/>
        <v>2167008.233420088</v>
      </c>
      <c r="M7" s="43">
        <f t="shared" si="3"/>
        <v>195789.58298583489</v>
      </c>
      <c r="N7" s="43">
        <f t="shared" si="4"/>
        <v>51312.410995301754</v>
      </c>
      <c r="O7" s="103">
        <f t="shared" si="5"/>
        <v>0</v>
      </c>
      <c r="P7" s="104">
        <f t="shared" ref="P7:P35" si="15">SUM(L7:O7)</f>
        <v>2414110.2274012244</v>
      </c>
      <c r="Q7" s="43">
        <f t="shared" si="6"/>
        <v>25995.728679488377</v>
      </c>
      <c r="R7" s="103">
        <f t="shared" ref="R7:R35" si="16">P7+Q7</f>
        <v>2440105.9560807128</v>
      </c>
      <c r="T7" s="23">
        <f t="shared" si="7"/>
        <v>659.56197733250576</v>
      </c>
      <c r="U7" s="8">
        <f t="shared" si="8"/>
        <v>47.885154640007848</v>
      </c>
      <c r="V7" s="8">
        <f t="shared" si="9"/>
        <v>8.7395143674812417</v>
      </c>
      <c r="W7" s="24">
        <f t="shared" si="10"/>
        <v>0</v>
      </c>
      <c r="X7" s="88">
        <f t="shared" ref="X7:X35" si="17">SUM(T7:W7)</f>
        <v>716.18664633999481</v>
      </c>
      <c r="Z7" s="23">
        <f t="shared" si="11"/>
        <v>1</v>
      </c>
      <c r="AA7" s="24">
        <f t="shared" si="12"/>
        <v>0.96618357487922713</v>
      </c>
    </row>
    <row r="8" spans="1:27">
      <c r="A8" s="23">
        <v>3</v>
      </c>
      <c r="B8" s="8">
        <f t="shared" si="0"/>
        <v>49</v>
      </c>
      <c r="C8" s="79">
        <f>_xlfn.XLOOKUP(B8,qx_bg[Age],qx_bg[qx weighted])</f>
        <v>3.2076600000000002E-3</v>
      </c>
      <c r="D8" s="82" t="b">
        <f t="shared" si="1"/>
        <v>1</v>
      </c>
      <c r="E8" s="23" cm="1">
        <f t="array" ref="E8:H8">MMULT(E7:H7,'4_Transitions'!$B$4:$E$7)</f>
        <v>753.15443549647648</v>
      </c>
      <c r="F8" s="8">
        <v>112.6825055408049</v>
      </c>
      <c r="G8" s="8">
        <v>30.722323770612</v>
      </c>
      <c r="H8" s="24">
        <v>103.44073519210669</v>
      </c>
      <c r="I8" s="68">
        <f t="shared" si="13"/>
        <v>1000</v>
      </c>
      <c r="J8" s="24">
        <f t="shared" si="14"/>
        <v>896.55926480789333</v>
      </c>
      <c r="L8" s="102">
        <f t="shared" si="2"/>
        <v>1880626.6254347018</v>
      </c>
      <c r="M8" s="43">
        <f t="shared" si="3"/>
        <v>327117.31358495663</v>
      </c>
      <c r="N8" s="43">
        <f t="shared" si="4"/>
        <v>110032.00258444688</v>
      </c>
      <c r="O8" s="103">
        <f t="shared" si="5"/>
        <v>0</v>
      </c>
      <c r="P8" s="104">
        <f t="shared" si="15"/>
        <v>2317775.9416041053</v>
      </c>
      <c r="Q8" s="43">
        <f t="shared" si="6"/>
        <v>24543.309874116076</v>
      </c>
      <c r="R8" s="103">
        <f t="shared" si="16"/>
        <v>2342319.2514782213</v>
      </c>
      <c r="T8" s="23">
        <f t="shared" si="7"/>
        <v>572.39737097732211</v>
      </c>
      <c r="U8" s="8">
        <f t="shared" si="8"/>
        <v>80.004578933971473</v>
      </c>
      <c r="V8" s="8">
        <f t="shared" si="9"/>
        <v>18.74061750007332</v>
      </c>
      <c r="W8" s="24">
        <f t="shared" si="10"/>
        <v>0</v>
      </c>
      <c r="X8" s="88">
        <f t="shared" si="17"/>
        <v>671.14256741136694</v>
      </c>
      <c r="Z8" s="23">
        <f t="shared" si="11"/>
        <v>1</v>
      </c>
      <c r="AA8" s="24">
        <f t="shared" si="12"/>
        <v>0.93351070036640305</v>
      </c>
    </row>
    <row r="9" spans="1:27">
      <c r="A9" s="23">
        <v>4</v>
      </c>
      <c r="B9" s="8">
        <f t="shared" si="0"/>
        <v>50</v>
      </c>
      <c r="C9" s="79">
        <f>_xlfn.XLOOKUP(B9,qx_bg[Age],qx_bg[qx weighted])</f>
        <v>3.5224199999999996E-3</v>
      </c>
      <c r="D9" s="82" t="b">
        <f t="shared" si="1"/>
        <v>1</v>
      </c>
      <c r="E9" s="23" cm="1">
        <f t="array" ref="E9:H9">MMULT(E8:H8,'4_Transitions'!$B$4:$E$7)</f>
        <v>653.62109041158305</v>
      </c>
      <c r="F9" s="8">
        <v>141.27011230360901</v>
      </c>
      <c r="G9" s="8">
        <v>46.763520984599289</v>
      </c>
      <c r="H9" s="24">
        <v>158.34527630020867</v>
      </c>
      <c r="I9" s="68">
        <f t="shared" si="13"/>
        <v>1000</v>
      </c>
      <c r="J9" s="24">
        <f t="shared" si="14"/>
        <v>841.65472369979136</v>
      </c>
      <c r="L9" s="102">
        <f t="shared" si="2"/>
        <v>1632091.8627577228</v>
      </c>
      <c r="M9" s="43">
        <f t="shared" si="3"/>
        <v>410107.13601737696</v>
      </c>
      <c r="N9" s="43">
        <f t="shared" si="4"/>
        <v>167483.55040634234</v>
      </c>
      <c r="O9" s="103">
        <f t="shared" si="5"/>
        <v>0</v>
      </c>
      <c r="P9" s="104">
        <f t="shared" si="15"/>
        <v>2209682.5491814422</v>
      </c>
      <c r="Q9" s="43">
        <f t="shared" si="6"/>
        <v>23040.298061281785</v>
      </c>
      <c r="R9" s="103">
        <f t="shared" si="16"/>
        <v>2232722.8472427242</v>
      </c>
      <c r="T9" s="23">
        <f t="shared" si="7"/>
        <v>496.75202871280311</v>
      </c>
      <c r="U9" s="8">
        <f t="shared" si="8"/>
        <v>100.30177973556239</v>
      </c>
      <c r="V9" s="8">
        <f t="shared" si="9"/>
        <v>28.525747800605565</v>
      </c>
      <c r="W9" s="24">
        <f t="shared" si="10"/>
        <v>0</v>
      </c>
      <c r="X9" s="88">
        <f t="shared" si="17"/>
        <v>625.57955624897113</v>
      </c>
      <c r="Z9" s="23">
        <f t="shared" si="11"/>
        <v>1</v>
      </c>
      <c r="AA9" s="24">
        <f t="shared" si="12"/>
        <v>0.90194270566802237</v>
      </c>
    </row>
    <row r="10" spans="1:27">
      <c r="A10" s="23">
        <v>5</v>
      </c>
      <c r="B10" s="8">
        <f t="shared" si="0"/>
        <v>51</v>
      </c>
      <c r="C10" s="79">
        <f>_xlfn.XLOOKUP(B10,qx_bg[Age],qx_bg[qx weighted])</f>
        <v>3.8046399999999998E-3</v>
      </c>
      <c r="D10" s="82" t="b">
        <f t="shared" si="1"/>
        <v>1</v>
      </c>
      <c r="E10" s="23" cm="1">
        <f t="array" ref="E10:H10">MMULT(E9:H9,'4_Transitions'!$B$4:$E$7)</f>
        <v>567.2416037080161</v>
      </c>
      <c r="F10" s="8">
        <v>157.51061085038737</v>
      </c>
      <c r="G10" s="8">
        <v>61.047927904647338</v>
      </c>
      <c r="H10" s="24">
        <v>214.19985753694925</v>
      </c>
      <c r="I10" s="68">
        <f t="shared" si="13"/>
        <v>1000</v>
      </c>
      <c r="J10" s="24">
        <f t="shared" si="14"/>
        <v>785.80014246305086</v>
      </c>
      <c r="L10" s="102">
        <f t="shared" si="2"/>
        <v>1416402.2844589162</v>
      </c>
      <c r="M10" s="43">
        <f t="shared" si="3"/>
        <v>457253.30329867452</v>
      </c>
      <c r="N10" s="43">
        <f t="shared" si="4"/>
        <v>218643.15379049443</v>
      </c>
      <c r="O10" s="103">
        <f t="shared" si="5"/>
        <v>0</v>
      </c>
      <c r="P10" s="104">
        <f t="shared" si="15"/>
        <v>2092298.7415480851</v>
      </c>
      <c r="Q10" s="43">
        <f t="shared" si="6"/>
        <v>21511.278899926016</v>
      </c>
      <c r="R10" s="103">
        <f t="shared" si="16"/>
        <v>2113810.0204480113</v>
      </c>
      <c r="T10" s="23">
        <f t="shared" si="7"/>
        <v>431.10361881809223</v>
      </c>
      <c r="U10" s="8">
        <f t="shared" si="8"/>
        <v>111.83253370377503</v>
      </c>
      <c r="V10" s="8">
        <f t="shared" si="9"/>
        <v>37.239236021834877</v>
      </c>
      <c r="W10" s="24">
        <f t="shared" si="10"/>
        <v>0</v>
      </c>
      <c r="X10" s="88">
        <f t="shared" si="17"/>
        <v>580.17538854370218</v>
      </c>
      <c r="Z10" s="23">
        <f t="shared" si="11"/>
        <v>1</v>
      </c>
      <c r="AA10" s="24">
        <f t="shared" si="12"/>
        <v>0.87144222769857238</v>
      </c>
    </row>
    <row r="11" spans="1:27">
      <c r="A11" s="23">
        <v>6</v>
      </c>
      <c r="B11" s="8">
        <f t="shared" si="0"/>
        <v>52</v>
      </c>
      <c r="C11" s="79">
        <f>_xlfn.XLOOKUP(B11,qx_bg[Age],qx_bg[qx weighted])</f>
        <v>4.0482599999999997E-3</v>
      </c>
      <c r="D11" s="82" t="b">
        <f t="shared" si="1"/>
        <v>1</v>
      </c>
      <c r="E11" s="23" cm="1">
        <f t="array" ref="E11:H11">MMULT(E10:H10,'4_Transitions'!$B$4:$E$7)</f>
        <v>492.27762337752722</v>
      </c>
      <c r="F11" s="8">
        <v>164.72458031064875</v>
      </c>
      <c r="G11" s="8">
        <v>72.864109145148106</v>
      </c>
      <c r="H11" s="24">
        <v>270.13368716667594</v>
      </c>
      <c r="I11" s="68">
        <f t="shared" si="13"/>
        <v>1000</v>
      </c>
      <c r="J11" s="24">
        <f t="shared" si="14"/>
        <v>729.86631283332406</v>
      </c>
      <c r="L11" s="102">
        <f t="shared" si="2"/>
        <v>1229217.2255736855</v>
      </c>
      <c r="M11" s="43">
        <f t="shared" si="3"/>
        <v>478195.45664181333</v>
      </c>
      <c r="N11" s="43">
        <f t="shared" si="4"/>
        <v>260962.80690334796</v>
      </c>
      <c r="O11" s="103">
        <f t="shared" si="5"/>
        <v>0</v>
      </c>
      <c r="P11" s="104">
        <f t="shared" si="15"/>
        <v>1968375.4891188466</v>
      </c>
      <c r="Q11" s="43">
        <f t="shared" si="6"/>
        <v>19980.090313812245</v>
      </c>
      <c r="R11" s="103">
        <f t="shared" si="16"/>
        <v>1988355.5794326589</v>
      </c>
      <c r="T11" s="23">
        <f t="shared" si="7"/>
        <v>374.13099376692071</v>
      </c>
      <c r="U11" s="8">
        <f t="shared" si="8"/>
        <v>116.95445202056061</v>
      </c>
      <c r="V11" s="8">
        <f t="shared" si="9"/>
        <v>44.447106578540343</v>
      </c>
      <c r="W11" s="24">
        <f t="shared" si="10"/>
        <v>0</v>
      </c>
      <c r="X11" s="88">
        <f t="shared" si="17"/>
        <v>535.53255236602172</v>
      </c>
      <c r="Z11" s="23">
        <f t="shared" si="11"/>
        <v>1</v>
      </c>
      <c r="AA11" s="24">
        <f t="shared" si="12"/>
        <v>0.84197316685852419</v>
      </c>
    </row>
    <row r="12" spans="1:27">
      <c r="A12" s="23">
        <v>7</v>
      </c>
      <c r="B12" s="8">
        <f t="shared" si="0"/>
        <v>53</v>
      </c>
      <c r="C12" s="79">
        <f>_xlfn.XLOOKUP(B12,qx_bg[Age],qx_bg[qx weighted])</f>
        <v>4.3113400000000003E-3</v>
      </c>
      <c r="D12" s="82" t="b">
        <f t="shared" si="1"/>
        <v>1</v>
      </c>
      <c r="E12" s="23" cm="1">
        <f t="array" ref="E12:H12">MMULT(E11:H11,'4_Transitions'!$B$4:$E$7)</f>
        <v>427.22052983082682</v>
      </c>
      <c r="F12" s="8">
        <v>165.46092171736061</v>
      </c>
      <c r="G12" s="8">
        <v>81.956453000628187</v>
      </c>
      <c r="H12" s="24">
        <v>325.36209545118436</v>
      </c>
      <c r="I12" s="68">
        <f t="shared" si="13"/>
        <v>1000</v>
      </c>
      <c r="J12" s="24">
        <f t="shared" si="14"/>
        <v>674.63790454881564</v>
      </c>
      <c r="L12" s="102">
        <f t="shared" si="2"/>
        <v>1066769.6629875745</v>
      </c>
      <c r="M12" s="43">
        <f t="shared" si="3"/>
        <v>480333.05574549781</v>
      </c>
      <c r="N12" s="43">
        <f t="shared" si="4"/>
        <v>293527.03642174986</v>
      </c>
      <c r="O12" s="103">
        <f t="shared" si="5"/>
        <v>0</v>
      </c>
      <c r="P12" s="104">
        <f t="shared" si="15"/>
        <v>1840629.755154822</v>
      </c>
      <c r="Q12" s="43">
        <f t="shared" si="6"/>
        <v>18468.212637023826</v>
      </c>
      <c r="R12" s="103">
        <f t="shared" si="16"/>
        <v>1859097.9677918458</v>
      </c>
      <c r="T12" s="23">
        <f t="shared" si="7"/>
        <v>324.68760267142841</v>
      </c>
      <c r="U12" s="8">
        <f t="shared" si="8"/>
        <v>117.47725441932603</v>
      </c>
      <c r="V12" s="8">
        <f t="shared" si="9"/>
        <v>49.99343633038319</v>
      </c>
      <c r="W12" s="24">
        <f t="shared" si="10"/>
        <v>0</v>
      </c>
      <c r="X12" s="88">
        <f t="shared" si="17"/>
        <v>492.15829342113761</v>
      </c>
      <c r="Z12" s="23">
        <f t="shared" si="11"/>
        <v>1</v>
      </c>
      <c r="AA12" s="24">
        <f t="shared" si="12"/>
        <v>0.81350064430775282</v>
      </c>
    </row>
    <row r="13" spans="1:27">
      <c r="A13" s="23">
        <v>8</v>
      </c>
      <c r="B13" s="8">
        <f t="shared" si="0"/>
        <v>54</v>
      </c>
      <c r="C13" s="79">
        <f>_xlfn.XLOOKUP(B13,qx_bg[Age],qx_bg[qx weighted])</f>
        <v>4.6731999999999997E-3</v>
      </c>
      <c r="D13" s="82" t="b">
        <f t="shared" si="1"/>
        <v>1</v>
      </c>
      <c r="E13" s="23" cm="1">
        <f t="array" ref="E13:H13">MMULT(E12:H12,'4_Transitions'!$B$4:$E$7)</f>
        <v>370.76107554244851</v>
      </c>
      <c r="F13" s="8">
        <v>161.6644383592172</v>
      </c>
      <c r="G13" s="8">
        <v>88.358171553330891</v>
      </c>
      <c r="H13" s="24">
        <v>379.21631454500334</v>
      </c>
      <c r="I13" s="68">
        <f t="shared" si="13"/>
        <v>1000</v>
      </c>
      <c r="J13" s="24">
        <f t="shared" si="14"/>
        <v>620.78368545499654</v>
      </c>
      <c r="L13" s="102">
        <f t="shared" si="2"/>
        <v>925790.40562949388</v>
      </c>
      <c r="M13" s="43">
        <f t="shared" si="3"/>
        <v>469311.86455680756</v>
      </c>
      <c r="N13" s="43">
        <f t="shared" si="4"/>
        <v>316454.79141825461</v>
      </c>
      <c r="O13" s="103">
        <f t="shared" si="5"/>
        <v>0</v>
      </c>
      <c r="P13" s="104">
        <f t="shared" si="15"/>
        <v>1711557.0616045559</v>
      </c>
      <c r="Q13" s="43">
        <f t="shared" si="6"/>
        <v>16993.953389330527</v>
      </c>
      <c r="R13" s="103">
        <f t="shared" si="16"/>
        <v>1728551.0149938865</v>
      </c>
      <c r="T13" s="23">
        <f t="shared" si="7"/>
        <v>281.77841741226086</v>
      </c>
      <c r="U13" s="8">
        <f t="shared" si="8"/>
        <v>114.78175123504421</v>
      </c>
      <c r="V13" s="8">
        <f t="shared" si="9"/>
        <v>53.898484647531845</v>
      </c>
      <c r="W13" s="24">
        <f t="shared" si="10"/>
        <v>0</v>
      </c>
      <c r="X13" s="88">
        <f t="shared" si="17"/>
        <v>450.45865329483695</v>
      </c>
      <c r="Z13" s="23">
        <f t="shared" si="11"/>
        <v>1</v>
      </c>
      <c r="AA13" s="24">
        <f t="shared" si="12"/>
        <v>0.78599096068381913</v>
      </c>
    </row>
    <row r="14" spans="1:27">
      <c r="A14" s="23">
        <v>9</v>
      </c>
      <c r="B14" s="8">
        <f t="shared" si="0"/>
        <v>55</v>
      </c>
      <c r="C14" s="79">
        <f>_xlfn.XLOOKUP(B14,qx_bg[Age],qx_bg[qx weighted])</f>
        <v>5.0471399999999994E-3</v>
      </c>
      <c r="D14" s="82" t="b">
        <f t="shared" si="1"/>
        <v>1</v>
      </c>
      <c r="E14" s="23" cm="1">
        <f t="array" ref="E14:H14">MMULT(E13:H13,'4_Transitions'!$B$4:$E$7)</f>
        <v>321.76303697724194</v>
      </c>
      <c r="F14" s="8">
        <v>154.80834091103247</v>
      </c>
      <c r="G14" s="8">
        <v>92.274560420188521</v>
      </c>
      <c r="H14" s="24">
        <v>431.15406169153704</v>
      </c>
      <c r="I14" s="68">
        <f t="shared" si="13"/>
        <v>1000</v>
      </c>
      <c r="J14" s="24">
        <f t="shared" si="14"/>
        <v>568.84593830846291</v>
      </c>
      <c r="L14" s="102">
        <f t="shared" si="2"/>
        <v>803442.30333217315</v>
      </c>
      <c r="M14" s="43">
        <f t="shared" si="3"/>
        <v>449408.61366472725</v>
      </c>
      <c r="N14" s="43">
        <f t="shared" si="4"/>
        <v>330481.33814490517</v>
      </c>
      <c r="O14" s="103">
        <f t="shared" si="5"/>
        <v>0</v>
      </c>
      <c r="P14" s="104">
        <f t="shared" si="15"/>
        <v>1583332.2551418056</v>
      </c>
      <c r="Q14" s="43">
        <f t="shared" si="6"/>
        <v>15572.15756119417</v>
      </c>
      <c r="R14" s="103">
        <f t="shared" si="16"/>
        <v>1598904.4127029998</v>
      </c>
      <c r="T14" s="23">
        <f t="shared" si="7"/>
        <v>244.53990810270389</v>
      </c>
      <c r="U14" s="8">
        <f t="shared" si="8"/>
        <v>109.91392204683305</v>
      </c>
      <c r="V14" s="8">
        <f t="shared" si="9"/>
        <v>56.287481856314997</v>
      </c>
      <c r="W14" s="24">
        <f t="shared" si="10"/>
        <v>0</v>
      </c>
      <c r="X14" s="88">
        <f t="shared" si="17"/>
        <v>410.74131200585191</v>
      </c>
      <c r="Z14" s="23">
        <f t="shared" si="11"/>
        <v>1</v>
      </c>
      <c r="AA14" s="24">
        <f t="shared" si="12"/>
        <v>0.75941155621625056</v>
      </c>
    </row>
    <row r="15" spans="1:27">
      <c r="A15" s="23">
        <v>10</v>
      </c>
      <c r="B15" s="8">
        <f t="shared" si="0"/>
        <v>56</v>
      </c>
      <c r="C15" s="79">
        <f>_xlfn.XLOOKUP(B15,qx_bg[Age],qx_bg[qx weighted])</f>
        <v>5.4556600000000002E-3</v>
      </c>
      <c r="D15" s="82" t="b">
        <f t="shared" si="1"/>
        <v>1</v>
      </c>
      <c r="E15" s="23" cm="1">
        <f t="array" ref="E15:H15">MMULT(E14:H14,'4_Transitions'!$B$4:$E$7)</f>
        <v>279.24034855423929</v>
      </c>
      <c r="F15" s="8">
        <v>145.99886075206251</v>
      </c>
      <c r="G15" s="8">
        <v>94.002878827746756</v>
      </c>
      <c r="H15" s="24">
        <v>480.75791186595143</v>
      </c>
      <c r="I15" s="68">
        <f t="shared" si="13"/>
        <v>1000</v>
      </c>
      <c r="J15" s="24">
        <f t="shared" si="14"/>
        <v>519.24208813404857</v>
      </c>
      <c r="L15" s="102">
        <f t="shared" si="2"/>
        <v>697263.15033993556</v>
      </c>
      <c r="M15" s="43">
        <f t="shared" si="3"/>
        <v>423834.69276323746</v>
      </c>
      <c r="N15" s="43">
        <f t="shared" si="4"/>
        <v>336671.31052157498</v>
      </c>
      <c r="O15" s="103">
        <f t="shared" si="5"/>
        <v>0</v>
      </c>
      <c r="P15" s="104">
        <f t="shared" si="15"/>
        <v>1457769.1536247479</v>
      </c>
      <c r="Q15" s="43">
        <f t="shared" si="6"/>
        <v>14214.252162669578</v>
      </c>
      <c r="R15" s="103">
        <f t="shared" si="16"/>
        <v>1471983.4057874174</v>
      </c>
      <c r="T15" s="23">
        <f t="shared" si="7"/>
        <v>212.22266490122186</v>
      </c>
      <c r="U15" s="8">
        <f t="shared" si="8"/>
        <v>103.65919113396438</v>
      </c>
      <c r="V15" s="8">
        <f t="shared" si="9"/>
        <v>57.341756084925521</v>
      </c>
      <c r="W15" s="24">
        <f t="shared" si="10"/>
        <v>0</v>
      </c>
      <c r="X15" s="88">
        <f t="shared" si="17"/>
        <v>373.2236121201118</v>
      </c>
      <c r="Z15" s="23">
        <f t="shared" si="11"/>
        <v>1</v>
      </c>
      <c r="AA15" s="24">
        <f t="shared" si="12"/>
        <v>0.73373097218961414</v>
      </c>
    </row>
    <row r="16" spans="1:27">
      <c r="A16" s="23">
        <v>11</v>
      </c>
      <c r="B16" s="8">
        <f t="shared" si="0"/>
        <v>57</v>
      </c>
      <c r="C16" s="79">
        <f>_xlfn.XLOOKUP(B16,qx_bg[Age],qx_bg[qx weighted])</f>
        <v>5.9469600000000003E-3</v>
      </c>
      <c r="D16" s="82" t="b">
        <f t="shared" si="1"/>
        <v>1</v>
      </c>
      <c r="E16" s="23" cm="1">
        <f t="array" ref="E16:H16">MMULT(E15:H15,'4_Transitions'!$B$4:$E$7)</f>
        <v>242.33725847822654</v>
      </c>
      <c r="F16" s="8">
        <v>136.05770337681111</v>
      </c>
      <c r="G16" s="8">
        <v>93.878682911062327</v>
      </c>
      <c r="H16" s="24">
        <v>527.72635523389999</v>
      </c>
      <c r="I16" s="68">
        <f t="shared" si="13"/>
        <v>1000</v>
      </c>
      <c r="J16" s="24">
        <f t="shared" si="14"/>
        <v>472.27364476610001</v>
      </c>
      <c r="L16" s="102">
        <f t="shared" si="2"/>
        <v>605116.13442013168</v>
      </c>
      <c r="M16" s="43">
        <f t="shared" si="3"/>
        <v>394975.51290288265</v>
      </c>
      <c r="N16" s="43">
        <f t="shared" si="4"/>
        <v>336226.50284596975</v>
      </c>
      <c r="O16" s="103">
        <f t="shared" si="5"/>
        <v>0</v>
      </c>
      <c r="P16" s="104">
        <f t="shared" si="15"/>
        <v>1336318.1501689842</v>
      </c>
      <c r="Q16" s="43">
        <f t="shared" si="6"/>
        <v>12928.491025471985</v>
      </c>
      <c r="R16" s="103">
        <f t="shared" si="16"/>
        <v>1349246.6411944563</v>
      </c>
      <c r="T16" s="23">
        <f t="shared" si="7"/>
        <v>184.17631644345218</v>
      </c>
      <c r="U16" s="8">
        <f t="shared" si="8"/>
        <v>96.600969397535877</v>
      </c>
      <c r="V16" s="8">
        <f t="shared" si="9"/>
        <v>57.265996575748019</v>
      </c>
      <c r="W16" s="24">
        <f t="shared" si="10"/>
        <v>0</v>
      </c>
      <c r="X16" s="88">
        <f t="shared" si="17"/>
        <v>338.04328241673608</v>
      </c>
      <c r="Z16" s="23">
        <f t="shared" si="11"/>
        <v>1</v>
      </c>
      <c r="AA16" s="24">
        <f t="shared" si="12"/>
        <v>0.70891881370977217</v>
      </c>
    </row>
    <row r="17" spans="1:27">
      <c r="A17" s="23">
        <v>12</v>
      </c>
      <c r="B17" s="8">
        <f t="shared" si="0"/>
        <v>58</v>
      </c>
      <c r="C17" s="79">
        <f>_xlfn.XLOOKUP(B17,qx_bg[Age],qx_bg[qx weighted])</f>
        <v>6.3892000000000003E-3</v>
      </c>
      <c r="D17" s="82" t="b">
        <f t="shared" si="1"/>
        <v>1</v>
      </c>
      <c r="E17" s="23" cm="1">
        <f t="array" ref="E17:H17">MMULT(E16:H16,'4_Transitions'!$B$4:$E$7)</f>
        <v>210.31110708320742</v>
      </c>
      <c r="F17" s="8">
        <v>125.58691309387686</v>
      </c>
      <c r="G17" s="8">
        <v>92.241070791102004</v>
      </c>
      <c r="H17" s="24">
        <v>571.86090903181366</v>
      </c>
      <c r="I17" s="68">
        <f t="shared" si="13"/>
        <v>1000</v>
      </c>
      <c r="J17" s="24">
        <f t="shared" si="14"/>
        <v>428.13909096818628</v>
      </c>
      <c r="L17" s="102">
        <f t="shared" si="2"/>
        <v>525146.83438676887</v>
      </c>
      <c r="M17" s="43">
        <f t="shared" si="3"/>
        <v>364578.80871152453</v>
      </c>
      <c r="N17" s="43">
        <f t="shared" si="4"/>
        <v>330361.3950383318</v>
      </c>
      <c r="O17" s="103">
        <f t="shared" si="5"/>
        <v>0</v>
      </c>
      <c r="P17" s="104">
        <f t="shared" si="15"/>
        <v>1220087.0381366252</v>
      </c>
      <c r="Q17" s="43">
        <f t="shared" si="6"/>
        <v>11720.307615254098</v>
      </c>
      <c r="R17" s="103">
        <f t="shared" si="16"/>
        <v>1231807.3457518793</v>
      </c>
      <c r="T17" s="23">
        <f t="shared" si="7"/>
        <v>159.83644138323763</v>
      </c>
      <c r="U17" s="8">
        <f t="shared" si="8"/>
        <v>89.166708296652573</v>
      </c>
      <c r="V17" s="8">
        <f t="shared" si="9"/>
        <v>56.267053182572219</v>
      </c>
      <c r="W17" s="24">
        <f t="shared" si="10"/>
        <v>0</v>
      </c>
      <c r="X17" s="88">
        <f t="shared" si="17"/>
        <v>305.27020286246244</v>
      </c>
      <c r="Z17" s="23">
        <f t="shared" si="11"/>
        <v>1</v>
      </c>
      <c r="AA17" s="24">
        <f t="shared" si="12"/>
        <v>0.68494571372924851</v>
      </c>
    </row>
    <row r="18" spans="1:27">
      <c r="A18" s="23">
        <v>13</v>
      </c>
      <c r="B18" s="8">
        <f t="shared" si="0"/>
        <v>59</v>
      </c>
      <c r="C18" s="79">
        <f>_xlfn.XLOOKUP(B18,qx_bg[Age],qx_bg[qx weighted])</f>
        <v>6.8706000000000001E-3</v>
      </c>
      <c r="D18" s="82" t="b">
        <f t="shared" si="1"/>
        <v>1</v>
      </c>
      <c r="E18" s="23" cm="1">
        <f t="array" ref="E18:H18">MMULT(E17:H17,'4_Transitions'!$B$4:$E$7)</f>
        <v>182.5173811089324</v>
      </c>
      <c r="F18" s="8">
        <v>115.01979235945467</v>
      </c>
      <c r="G18" s="8">
        <v>89.411277193195048</v>
      </c>
      <c r="H18" s="24">
        <v>613.05154933841777</v>
      </c>
      <c r="I18" s="68">
        <f t="shared" si="13"/>
        <v>1000</v>
      </c>
      <c r="J18" s="24">
        <f t="shared" si="14"/>
        <v>386.94845066158211</v>
      </c>
      <c r="L18" s="102">
        <f t="shared" si="2"/>
        <v>455745.90062900417</v>
      </c>
      <c r="M18" s="43">
        <f t="shared" si="3"/>
        <v>333902.45721949689</v>
      </c>
      <c r="N18" s="43">
        <f t="shared" si="4"/>
        <v>320226.48926742806</v>
      </c>
      <c r="O18" s="103">
        <f t="shared" si="5"/>
        <v>0</v>
      </c>
      <c r="P18" s="104">
        <f t="shared" si="15"/>
        <v>1109874.8471159292</v>
      </c>
      <c r="Q18" s="43">
        <f t="shared" si="6"/>
        <v>10592.713836860808</v>
      </c>
      <c r="R18" s="103">
        <f t="shared" si="16"/>
        <v>1120467.5609527901</v>
      </c>
      <c r="T18" s="23">
        <f t="shared" si="7"/>
        <v>138.71320964278863</v>
      </c>
      <c r="U18" s="8">
        <f t="shared" si="8"/>
        <v>81.664052575212807</v>
      </c>
      <c r="V18" s="8">
        <f t="shared" si="9"/>
        <v>54.540879087848978</v>
      </c>
      <c r="W18" s="24">
        <f t="shared" si="10"/>
        <v>0</v>
      </c>
      <c r="X18" s="88">
        <f t="shared" si="17"/>
        <v>274.91814130585038</v>
      </c>
      <c r="Z18" s="23">
        <f t="shared" si="11"/>
        <v>1</v>
      </c>
      <c r="AA18" s="24">
        <f t="shared" si="12"/>
        <v>0.66178329828912896</v>
      </c>
    </row>
    <row r="19" spans="1:27">
      <c r="A19" s="23">
        <v>14</v>
      </c>
      <c r="B19" s="8">
        <f t="shared" si="0"/>
        <v>60</v>
      </c>
      <c r="C19" s="79">
        <f>_xlfn.XLOOKUP(B19,qx_bg[Age],qx_bg[qx weighted])</f>
        <v>7.3771199999999992E-3</v>
      </c>
      <c r="D19" s="82" t="b">
        <f t="shared" si="1"/>
        <v>1</v>
      </c>
      <c r="E19" s="23" cm="1">
        <f t="array" ref="E19:H19">MMULT(E18:H18,'4_Transitions'!$B$4:$E$7)</f>
        <v>158.39674313389207</v>
      </c>
      <c r="F19" s="8">
        <v>104.66077766790713</v>
      </c>
      <c r="G19" s="8">
        <v>85.680542010969816</v>
      </c>
      <c r="H19" s="24">
        <v>651.26193718723084</v>
      </c>
      <c r="I19" s="68">
        <f t="shared" si="13"/>
        <v>1000</v>
      </c>
      <c r="J19" s="24">
        <f t="shared" si="14"/>
        <v>348.73806281276904</v>
      </c>
      <c r="L19" s="102">
        <f t="shared" si="2"/>
        <v>395516.66760532849</v>
      </c>
      <c r="M19" s="43">
        <f t="shared" si="3"/>
        <v>303830.2375699344</v>
      </c>
      <c r="N19" s="43">
        <f t="shared" si="4"/>
        <v>306864.86121228838</v>
      </c>
      <c r="O19" s="103">
        <f t="shared" si="5"/>
        <v>0</v>
      </c>
      <c r="P19" s="104">
        <f t="shared" si="15"/>
        <v>1006211.7663875512</v>
      </c>
      <c r="Q19" s="43">
        <f t="shared" si="6"/>
        <v>9546.7044694995511</v>
      </c>
      <c r="R19" s="103">
        <f t="shared" si="16"/>
        <v>1015758.4708570507</v>
      </c>
      <c r="T19" s="23">
        <f t="shared" si="7"/>
        <v>120.38152478175797</v>
      </c>
      <c r="U19" s="8">
        <f t="shared" si="8"/>
        <v>74.309152144214053</v>
      </c>
      <c r="V19" s="8">
        <f t="shared" si="9"/>
        <v>52.265130626691587</v>
      </c>
      <c r="W19" s="24">
        <f t="shared" si="10"/>
        <v>0</v>
      </c>
      <c r="X19" s="88">
        <f t="shared" si="17"/>
        <v>246.9558075526636</v>
      </c>
      <c r="Z19" s="23">
        <f t="shared" si="11"/>
        <v>1</v>
      </c>
      <c r="AA19" s="24">
        <f t="shared" si="12"/>
        <v>0.63940415293635666</v>
      </c>
    </row>
    <row r="20" spans="1:27">
      <c r="A20" s="23">
        <v>15</v>
      </c>
      <c r="B20" s="8">
        <f t="shared" si="0"/>
        <v>61</v>
      </c>
      <c r="C20" s="79">
        <f>_xlfn.XLOOKUP(B20,qx_bg[Age],qx_bg[qx weighted])</f>
        <v>8.1189199999999982E-3</v>
      </c>
      <c r="D20" s="82" t="b">
        <f t="shared" si="1"/>
        <v>1</v>
      </c>
      <c r="E20" s="23" cm="1">
        <f t="array" ref="E20:H20">MMULT(E19:H19,'4_Transitions'!$B$4:$E$7)</f>
        <v>137.46377513739324</v>
      </c>
      <c r="F20" s="8">
        <v>94.716581710416705</v>
      </c>
      <c r="G20" s="8">
        <v>81.30428945040974</v>
      </c>
      <c r="H20" s="24">
        <v>686.51535370178021</v>
      </c>
      <c r="I20" s="68">
        <f t="shared" si="13"/>
        <v>1000</v>
      </c>
      <c r="J20" s="24">
        <f t="shared" si="14"/>
        <v>313.48464629821967</v>
      </c>
      <c r="L20" s="102">
        <f t="shared" si="2"/>
        <v>343247.04651807091</v>
      </c>
      <c r="M20" s="43">
        <f t="shared" si="3"/>
        <v>274962.23670533969</v>
      </c>
      <c r="N20" s="43">
        <f t="shared" si="4"/>
        <v>291191.31266664248</v>
      </c>
      <c r="O20" s="103">
        <f t="shared" si="5"/>
        <v>0</v>
      </c>
      <c r="P20" s="104">
        <f t="shared" si="15"/>
        <v>909400.59589005308</v>
      </c>
      <c r="Q20" s="43">
        <f t="shared" si="6"/>
        <v>8581.642192413763</v>
      </c>
      <c r="R20" s="103">
        <f t="shared" si="16"/>
        <v>917982.23808246688</v>
      </c>
      <c r="T20" s="23">
        <f t="shared" si="7"/>
        <v>104.47246910441886</v>
      </c>
      <c r="U20" s="8">
        <f t="shared" si="8"/>
        <v>67.248773014395852</v>
      </c>
      <c r="V20" s="8">
        <f t="shared" si="9"/>
        <v>49.595616564749939</v>
      </c>
      <c r="W20" s="24">
        <f t="shared" si="10"/>
        <v>0</v>
      </c>
      <c r="X20" s="88">
        <f t="shared" si="17"/>
        <v>221.31685868356465</v>
      </c>
      <c r="Z20" s="23">
        <f t="shared" si="11"/>
        <v>1</v>
      </c>
      <c r="AA20" s="24">
        <f t="shared" si="12"/>
        <v>0.61778179027667302</v>
      </c>
    </row>
    <row r="21" spans="1:27">
      <c r="A21" s="23">
        <v>16</v>
      </c>
      <c r="B21" s="8">
        <f t="shared" si="0"/>
        <v>62</v>
      </c>
      <c r="C21" s="79">
        <f>_xlfn.XLOOKUP(B21,qx_bg[Age],qx_bg[qx weighted])</f>
        <v>8.8407799999999995E-3</v>
      </c>
      <c r="D21" s="82" t="b">
        <f t="shared" si="1"/>
        <v>1</v>
      </c>
      <c r="E21" s="23" cm="1">
        <f t="array" ref="E21:H21">MMULT(E20:H20,'4_Transitions'!$B$4:$E$7)</f>
        <v>119.29720965948687</v>
      </c>
      <c r="F21" s="8">
        <v>85.320438698249205</v>
      </c>
      <c r="G21" s="8">
        <v>76.50048277103474</v>
      </c>
      <c r="H21" s="24">
        <v>718.88186887122902</v>
      </c>
      <c r="I21" s="68">
        <f t="shared" si="13"/>
        <v>1000</v>
      </c>
      <c r="J21" s="24">
        <f t="shared" si="14"/>
        <v>281.11813112877081</v>
      </c>
      <c r="L21" s="102">
        <f t="shared" si="2"/>
        <v>297885.13251973869</v>
      </c>
      <c r="M21" s="43">
        <f t="shared" si="3"/>
        <v>247685.23354101746</v>
      </c>
      <c r="N21" s="43">
        <f t="shared" si="4"/>
        <v>273986.47904446092</v>
      </c>
      <c r="O21" s="103">
        <f t="shared" si="5"/>
        <v>0</v>
      </c>
      <c r="P21" s="104">
        <f t="shared" si="15"/>
        <v>819556.84510521707</v>
      </c>
      <c r="Q21" s="43">
        <f t="shared" si="6"/>
        <v>7695.6088396501</v>
      </c>
      <c r="R21" s="103">
        <f t="shared" si="16"/>
        <v>827252.45394486713</v>
      </c>
      <c r="T21" s="23">
        <f t="shared" si="7"/>
        <v>90.665879341210015</v>
      </c>
      <c r="U21" s="8">
        <f t="shared" si="8"/>
        <v>60.577511475756936</v>
      </c>
      <c r="V21" s="8">
        <f t="shared" si="9"/>
        <v>46.665294490331192</v>
      </c>
      <c r="W21" s="24">
        <f t="shared" si="10"/>
        <v>0</v>
      </c>
      <c r="X21" s="88">
        <f t="shared" si="17"/>
        <v>197.90868530729813</v>
      </c>
      <c r="Z21" s="23">
        <f t="shared" si="11"/>
        <v>1</v>
      </c>
      <c r="AA21" s="24">
        <f t="shared" si="12"/>
        <v>0.59689061862480497</v>
      </c>
    </row>
    <row r="22" spans="1:27">
      <c r="A22" s="23">
        <v>17</v>
      </c>
      <c r="B22" s="8">
        <f t="shared" si="0"/>
        <v>63</v>
      </c>
      <c r="C22" s="79">
        <f>_xlfn.XLOOKUP(B22,qx_bg[Age],qx_bg[qx weighted])</f>
        <v>9.5674999999999996E-3</v>
      </c>
      <c r="D22" s="82" t="b">
        <f t="shared" si="1"/>
        <v>1</v>
      </c>
      <c r="E22" s="23" cm="1">
        <f t="array" ref="E22:H22">MMULT(E21:H21,'4_Transitions'!$B$4:$E$7)</f>
        <v>103.53145196481798</v>
      </c>
      <c r="F22" s="8">
        <v>76.550912443954587</v>
      </c>
      <c r="G22" s="8">
        <v>71.450633461701145</v>
      </c>
      <c r="H22" s="24">
        <v>748.46700212952612</v>
      </c>
      <c r="I22" s="68">
        <f t="shared" si="13"/>
        <v>1000</v>
      </c>
      <c r="J22" s="24">
        <f t="shared" si="14"/>
        <v>251.53299787047371</v>
      </c>
      <c r="L22" s="102">
        <f t="shared" si="2"/>
        <v>258518.03555615048</v>
      </c>
      <c r="M22" s="43">
        <f t="shared" si="3"/>
        <v>222227.29882480018</v>
      </c>
      <c r="N22" s="43">
        <f t="shared" si="4"/>
        <v>255900.44374308264</v>
      </c>
      <c r="O22" s="103">
        <f t="shared" si="5"/>
        <v>0</v>
      </c>
      <c r="P22" s="104">
        <f t="shared" si="15"/>
        <v>736645.77812403324</v>
      </c>
      <c r="Q22" s="43">
        <f t="shared" si="6"/>
        <v>6885.7158167042171</v>
      </c>
      <c r="R22" s="103">
        <f t="shared" si="16"/>
        <v>743531.49394073745</v>
      </c>
      <c r="T22" s="23">
        <f t="shared" si="7"/>
        <v>78.683903493261667</v>
      </c>
      <c r="U22" s="8">
        <f t="shared" si="8"/>
        <v>54.351147835207755</v>
      </c>
      <c r="V22" s="8">
        <f t="shared" si="9"/>
        <v>43.584886411637697</v>
      </c>
      <c r="W22" s="24">
        <f t="shared" si="10"/>
        <v>0</v>
      </c>
      <c r="X22" s="88">
        <f t="shared" si="17"/>
        <v>176.6199377401071</v>
      </c>
      <c r="Z22" s="23">
        <f t="shared" si="11"/>
        <v>1</v>
      </c>
      <c r="AA22" s="24">
        <f t="shared" si="12"/>
        <v>0.57670591171478747</v>
      </c>
    </row>
    <row r="23" spans="1:27">
      <c r="A23" s="23">
        <v>18</v>
      </c>
      <c r="B23" s="8">
        <f t="shared" si="0"/>
        <v>64</v>
      </c>
      <c r="C23" s="79">
        <f>_xlfn.XLOOKUP(B23,qx_bg[Age],qx_bg[qx weighted])</f>
        <v>1.0632999999999998E-2</v>
      </c>
      <c r="D23" s="82" t="b">
        <f t="shared" si="1"/>
        <v>1</v>
      </c>
      <c r="E23" s="23" cm="1">
        <f t="array" ref="E23:H23">MMULT(E22:H22,'4_Transitions'!$B$4:$E$7)</f>
        <v>89.849222597395624</v>
      </c>
      <c r="F23" s="8">
        <v>68.446425870578906</v>
      </c>
      <c r="G23" s="8">
        <v>66.302395846388848</v>
      </c>
      <c r="H23" s="24">
        <v>775.40195568563649</v>
      </c>
      <c r="I23" s="68">
        <f t="shared" si="13"/>
        <v>1000</v>
      </c>
      <c r="J23" s="24">
        <f t="shared" si="14"/>
        <v>224.59804431436339</v>
      </c>
      <c r="L23" s="102">
        <f t="shared" si="2"/>
        <v>224353.50882569686</v>
      </c>
      <c r="M23" s="43">
        <f t="shared" si="3"/>
        <v>198699.97430229056</v>
      </c>
      <c r="N23" s="43">
        <f t="shared" si="4"/>
        <v>237462.03072384166</v>
      </c>
      <c r="O23" s="103">
        <f t="shared" si="5"/>
        <v>0</v>
      </c>
      <c r="P23" s="104">
        <f t="shared" si="15"/>
        <v>660515.51385182911</v>
      </c>
      <c r="Q23" s="43">
        <f t="shared" si="6"/>
        <v>6148.3714631056973</v>
      </c>
      <c r="R23" s="103">
        <f t="shared" si="16"/>
        <v>666663.88531493477</v>
      </c>
      <c r="T23" s="23">
        <f t="shared" si="7"/>
        <v>68.285409174020671</v>
      </c>
      <c r="U23" s="8">
        <f t="shared" si="8"/>
        <v>48.596962368111022</v>
      </c>
      <c r="V23" s="8">
        <f t="shared" si="9"/>
        <v>40.444461466297199</v>
      </c>
      <c r="W23" s="24">
        <f t="shared" si="10"/>
        <v>0</v>
      </c>
      <c r="X23" s="88">
        <f t="shared" si="17"/>
        <v>157.32683300842888</v>
      </c>
      <c r="Z23" s="23">
        <f t="shared" si="11"/>
        <v>1</v>
      </c>
      <c r="AA23" s="24">
        <f t="shared" si="12"/>
        <v>0.55720377943457733</v>
      </c>
    </row>
    <row r="24" spans="1:27">
      <c r="A24" s="23">
        <v>19</v>
      </c>
      <c r="B24" s="8">
        <f t="shared" si="0"/>
        <v>65</v>
      </c>
      <c r="C24" s="79">
        <f>_xlfn.XLOOKUP(B24,qx_bg[Age],qx_bg[qx weighted])</f>
        <v>1.141138E-2</v>
      </c>
      <c r="D24" s="82" t="b">
        <f t="shared" si="1"/>
        <v>1</v>
      </c>
      <c r="E24" s="23" cm="1">
        <f t="array" ref="E24:H24">MMULT(E23:H23,'4_Transitions'!$B$4:$E$7)</f>
        <v>77.975172260693043</v>
      </c>
      <c r="F24" s="8">
        <v>61.016430755473408</v>
      </c>
      <c r="G24" s="8">
        <v>61.17300890892777</v>
      </c>
      <c r="H24" s="24">
        <v>799.83538807490561</v>
      </c>
      <c r="I24" s="68">
        <f t="shared" si="13"/>
        <v>1000</v>
      </c>
      <c r="J24" s="24">
        <f t="shared" si="14"/>
        <v>200.16461192509422</v>
      </c>
      <c r="L24" s="102">
        <f t="shared" si="2"/>
        <v>194704.00513495054</v>
      </c>
      <c r="M24" s="43">
        <f t="shared" si="3"/>
        <v>177130.69848313931</v>
      </c>
      <c r="N24" s="43">
        <f t="shared" si="4"/>
        <v>219091.13140732481</v>
      </c>
      <c r="O24" s="103">
        <f t="shared" si="5"/>
        <v>0</v>
      </c>
      <c r="P24" s="104">
        <f t="shared" si="15"/>
        <v>590925.83502541459</v>
      </c>
      <c r="Q24" s="43">
        <f t="shared" si="6"/>
        <v>5479.5062514494539</v>
      </c>
      <c r="R24" s="103">
        <f t="shared" si="16"/>
        <v>596405.34127686406</v>
      </c>
      <c r="T24" s="23">
        <f t="shared" si="7"/>
        <v>59.26113091812671</v>
      </c>
      <c r="U24" s="8">
        <f t="shared" si="8"/>
        <v>43.321665836386117</v>
      </c>
      <c r="V24" s="8">
        <f t="shared" si="9"/>
        <v>37.315535434445941</v>
      </c>
      <c r="W24" s="24">
        <f t="shared" si="10"/>
        <v>0</v>
      </c>
      <c r="X24" s="88">
        <f t="shared" si="17"/>
        <v>139.89833218895876</v>
      </c>
      <c r="Z24" s="23">
        <f t="shared" si="11"/>
        <v>1</v>
      </c>
      <c r="AA24" s="24">
        <f t="shared" si="12"/>
        <v>0.53836113955031628</v>
      </c>
    </row>
    <row r="25" spans="1:27">
      <c r="A25" s="23">
        <v>20</v>
      </c>
      <c r="B25" s="8">
        <f t="shared" si="0"/>
        <v>66</v>
      </c>
      <c r="C25" s="79">
        <f>_xlfn.XLOOKUP(B25,qx_bg[Age],qx_bg[qx weighted])</f>
        <v>1.2780720000000001E-2</v>
      </c>
      <c r="D25" s="82" t="b">
        <f t="shared" si="1"/>
        <v>1</v>
      </c>
      <c r="E25" s="23" cm="1">
        <f t="array" ref="E25:H25">MMULT(E24:H24,'4_Transitions'!$B$4:$E$7)</f>
        <v>67.670340525138755</v>
      </c>
      <c r="F25" s="8">
        <v>54.249945446019474</v>
      </c>
      <c r="G25" s="8">
        <v>56.15308717904103</v>
      </c>
      <c r="H25" s="24">
        <v>821.92662684980053</v>
      </c>
      <c r="I25" s="68">
        <f t="shared" si="13"/>
        <v>1000</v>
      </c>
      <c r="J25" s="24">
        <f t="shared" si="14"/>
        <v>178.07337315019925</v>
      </c>
      <c r="L25" s="102">
        <f t="shared" si="2"/>
        <v>168972.84029127148</v>
      </c>
      <c r="M25" s="43">
        <f t="shared" si="3"/>
        <v>157487.59162979454</v>
      </c>
      <c r="N25" s="43">
        <f t="shared" si="4"/>
        <v>201112.28173173545</v>
      </c>
      <c r="O25" s="103">
        <f t="shared" si="5"/>
        <v>0</v>
      </c>
      <c r="P25" s="104">
        <f t="shared" si="15"/>
        <v>527572.71365280147</v>
      </c>
      <c r="Q25" s="43">
        <f t="shared" si="6"/>
        <v>4874.7585899867036</v>
      </c>
      <c r="R25" s="103">
        <f t="shared" si="16"/>
        <v>532447.47224278818</v>
      </c>
      <c r="T25" s="23">
        <f t="shared" si="7"/>
        <v>51.429458799105454</v>
      </c>
      <c r="U25" s="8">
        <f t="shared" si="8"/>
        <v>38.517461266673827</v>
      </c>
      <c r="V25" s="8">
        <f t="shared" si="9"/>
        <v>34.253383179215028</v>
      </c>
      <c r="W25" s="24">
        <f t="shared" si="10"/>
        <v>0</v>
      </c>
      <c r="X25" s="88">
        <f t="shared" si="17"/>
        <v>124.2003032449943</v>
      </c>
      <c r="Z25" s="23">
        <f t="shared" si="11"/>
        <v>1</v>
      </c>
      <c r="AA25" s="24">
        <f t="shared" si="12"/>
        <v>0.52015569038677911</v>
      </c>
    </row>
    <row r="26" spans="1:27">
      <c r="A26" s="23">
        <v>21</v>
      </c>
      <c r="B26" s="8">
        <f t="shared" si="0"/>
        <v>67</v>
      </c>
      <c r="C26" s="79">
        <f>_xlfn.XLOOKUP(B26,qx_bg[Age],qx_bg[qx weighted])</f>
        <v>1.4105640000000001E-2</v>
      </c>
      <c r="D26" s="82" t="b">
        <f t="shared" si="1"/>
        <v>1</v>
      </c>
      <c r="E26" s="23" cm="1">
        <f t="array" ref="E26:H26">MMULT(E25:H25,'4_Transitions'!$B$4:$E$7)</f>
        <v>58.727346846742776</v>
      </c>
      <c r="F26" s="8">
        <v>48.122036191957193</v>
      </c>
      <c r="G26" s="8">
        <v>51.31043504523295</v>
      </c>
      <c r="H26" s="24">
        <v>841.84018191606685</v>
      </c>
      <c r="I26" s="68">
        <f t="shared" si="13"/>
        <v>1000</v>
      </c>
      <c r="J26" s="24">
        <f t="shared" si="14"/>
        <v>158.15981808393292</v>
      </c>
      <c r="L26" s="102">
        <f t="shared" si="2"/>
        <v>146642.1850763167</v>
      </c>
      <c r="M26" s="43">
        <f t="shared" si="3"/>
        <v>139698.27106525173</v>
      </c>
      <c r="N26" s="43">
        <f t="shared" si="4"/>
        <v>183768.32311450181</v>
      </c>
      <c r="O26" s="103">
        <f t="shared" si="5"/>
        <v>0</v>
      </c>
      <c r="P26" s="104">
        <f t="shared" si="15"/>
        <v>470108.77925607027</v>
      </c>
      <c r="Q26" s="43">
        <f t="shared" si="6"/>
        <v>4329.6250200476634</v>
      </c>
      <c r="R26" s="103">
        <f t="shared" si="16"/>
        <v>474438.40427611792</v>
      </c>
      <c r="T26" s="23">
        <f t="shared" si="7"/>
        <v>44.632783603524508</v>
      </c>
      <c r="U26" s="8">
        <f t="shared" si="8"/>
        <v>34.166645696289606</v>
      </c>
      <c r="V26" s="8">
        <f t="shared" si="9"/>
        <v>31.2993653775921</v>
      </c>
      <c r="W26" s="24">
        <f t="shared" si="10"/>
        <v>0</v>
      </c>
      <c r="X26" s="88">
        <f t="shared" si="17"/>
        <v>110.0987946774062</v>
      </c>
      <c r="Z26" s="23">
        <f t="shared" si="11"/>
        <v>1</v>
      </c>
      <c r="AA26" s="24">
        <f t="shared" si="12"/>
        <v>0.50256588443167061</v>
      </c>
    </row>
    <row r="27" spans="1:27">
      <c r="A27" s="23">
        <v>22</v>
      </c>
      <c r="B27" s="8">
        <f t="shared" si="0"/>
        <v>68</v>
      </c>
      <c r="C27" s="79">
        <f>_xlfn.XLOOKUP(B27,qx_bg[Age],qx_bg[qx weighted])</f>
        <v>1.5509579999999999E-2</v>
      </c>
      <c r="D27" s="82" t="b">
        <f t="shared" si="1"/>
        <v>1</v>
      </c>
      <c r="E27" s="23" cm="1">
        <f t="array" ref="E27:H27">MMULT(E26:H26,'4_Transitions'!$B$4:$E$7)</f>
        <v>50.966217118065209</v>
      </c>
      <c r="F27" s="8">
        <v>42.598696766887244</v>
      </c>
      <c r="G27" s="8">
        <v>46.693681391321228</v>
      </c>
      <c r="H27" s="24">
        <v>859.74140472372608</v>
      </c>
      <c r="I27" s="68">
        <f t="shared" si="13"/>
        <v>1000</v>
      </c>
      <c r="J27" s="24">
        <f t="shared" si="14"/>
        <v>140.2585952762737</v>
      </c>
      <c r="L27" s="102">
        <f t="shared" si="2"/>
        <v>127262.64414380882</v>
      </c>
      <c r="M27" s="43">
        <f t="shared" si="3"/>
        <v>123664.01671427368</v>
      </c>
      <c r="N27" s="43">
        <f t="shared" si="4"/>
        <v>167233.41990301697</v>
      </c>
      <c r="O27" s="103">
        <f t="shared" si="5"/>
        <v>0</v>
      </c>
      <c r="P27" s="104">
        <f t="shared" si="15"/>
        <v>418160.08076109947</v>
      </c>
      <c r="Q27" s="43">
        <f t="shared" si="6"/>
        <v>3839.5790456879918</v>
      </c>
      <c r="R27" s="103">
        <f t="shared" si="16"/>
        <v>421999.65980678744</v>
      </c>
      <c r="T27" s="23">
        <f t="shared" si="7"/>
        <v>38.734325009729559</v>
      </c>
      <c r="U27" s="8">
        <f t="shared" si="8"/>
        <v>30.245074704489941</v>
      </c>
      <c r="V27" s="8">
        <f t="shared" si="9"/>
        <v>28.48314564870595</v>
      </c>
      <c r="W27" s="24">
        <f t="shared" si="10"/>
        <v>0</v>
      </c>
      <c r="X27" s="88">
        <f t="shared" si="17"/>
        <v>97.462545362925454</v>
      </c>
      <c r="Z27" s="23">
        <f t="shared" si="11"/>
        <v>1</v>
      </c>
      <c r="AA27" s="24">
        <f t="shared" si="12"/>
        <v>0.48557090283253213</v>
      </c>
    </row>
    <row r="28" spans="1:27">
      <c r="A28" s="23">
        <v>23</v>
      </c>
      <c r="B28" s="8">
        <f t="shared" si="0"/>
        <v>69</v>
      </c>
      <c r="C28" s="79">
        <f>_xlfn.XLOOKUP(B28,qx_bg[Age],qx_bg[qx weighted])</f>
        <v>1.6764100000000001E-2</v>
      </c>
      <c r="D28" s="82" t="b">
        <f t="shared" si="1"/>
        <v>1</v>
      </c>
      <c r="E28" s="23" cm="1">
        <f t="array" ref="E28:H28">MMULT(E27:H27,'4_Transitions'!$B$4:$E$7)</f>
        <v>44.230761762564327</v>
      </c>
      <c r="F28" s="8">
        <v>37.640484915158744</v>
      </c>
      <c r="G28" s="8">
        <v>42.335617201768088</v>
      </c>
      <c r="H28" s="24">
        <v>875.79313612050862</v>
      </c>
      <c r="I28" s="68">
        <f t="shared" si="13"/>
        <v>1000</v>
      </c>
      <c r="J28" s="24">
        <f t="shared" si="14"/>
        <v>124.20686387949115</v>
      </c>
      <c r="L28" s="102">
        <f t="shared" si="2"/>
        <v>110444.21212112313</v>
      </c>
      <c r="M28" s="43">
        <f t="shared" si="3"/>
        <v>109270.32770870584</v>
      </c>
      <c r="N28" s="43">
        <f t="shared" si="4"/>
        <v>151625.0130081324</v>
      </c>
      <c r="O28" s="103">
        <f t="shared" si="5"/>
        <v>0</v>
      </c>
      <c r="P28" s="104">
        <f t="shared" si="15"/>
        <v>371339.55283796135</v>
      </c>
      <c r="Q28" s="43">
        <f t="shared" si="6"/>
        <v>3400.1628987010699</v>
      </c>
      <c r="R28" s="103">
        <f t="shared" si="16"/>
        <v>374739.71573666245</v>
      </c>
      <c r="T28" s="23">
        <f t="shared" si="7"/>
        <v>33.61537893954889</v>
      </c>
      <c r="U28" s="8">
        <f t="shared" si="8"/>
        <v>26.724744289762707</v>
      </c>
      <c r="V28" s="8">
        <f t="shared" si="9"/>
        <v>25.824726493078533</v>
      </c>
      <c r="W28" s="24">
        <f t="shared" si="10"/>
        <v>0</v>
      </c>
      <c r="X28" s="88">
        <f t="shared" si="17"/>
        <v>86.16484972239013</v>
      </c>
      <c r="Z28" s="23">
        <f t="shared" si="11"/>
        <v>1</v>
      </c>
      <c r="AA28" s="24">
        <f t="shared" si="12"/>
        <v>0.46915063075606966</v>
      </c>
    </row>
    <row r="29" spans="1:27">
      <c r="A29" s="23">
        <v>24</v>
      </c>
      <c r="B29" s="8">
        <f t="shared" si="0"/>
        <v>70</v>
      </c>
      <c r="C29" s="79">
        <f>_xlfn.XLOOKUP(B29,qx_bg[Age],qx_bg[qx weighted])</f>
        <v>1.8573319999999997E-2</v>
      </c>
      <c r="D29" s="82" t="b">
        <f t="shared" si="1"/>
        <v>1</v>
      </c>
      <c r="E29" s="23" cm="1">
        <f t="array" ref="E29:H29">MMULT(E28:H28,'4_Transitions'!$B$4:$E$7)</f>
        <v>38.385432482947252</v>
      </c>
      <c r="F29" s="8">
        <v>33.205197833645244</v>
      </c>
      <c r="G29" s="8">
        <v>38.256177657866729</v>
      </c>
      <c r="H29" s="24">
        <v>890.15319202554053</v>
      </c>
      <c r="I29" s="68">
        <f t="shared" si="13"/>
        <v>1000</v>
      </c>
      <c r="J29" s="24">
        <f t="shared" si="14"/>
        <v>109.84680797445922</v>
      </c>
      <c r="L29" s="102">
        <f t="shared" si="2"/>
        <v>95848.424909919282</v>
      </c>
      <c r="M29" s="43">
        <f t="shared" si="3"/>
        <v>96394.689311072143</v>
      </c>
      <c r="N29" s="43">
        <f t="shared" si="4"/>
        <v>137014.5002816497</v>
      </c>
      <c r="O29" s="103">
        <f t="shared" si="5"/>
        <v>0</v>
      </c>
      <c r="P29" s="104">
        <f t="shared" si="15"/>
        <v>329257.61450264114</v>
      </c>
      <c r="Q29" s="43">
        <f t="shared" si="6"/>
        <v>3007.0563683008208</v>
      </c>
      <c r="R29" s="103">
        <f t="shared" si="16"/>
        <v>332264.67087094195</v>
      </c>
      <c r="T29" s="23">
        <f t="shared" si="7"/>
        <v>29.17292868703991</v>
      </c>
      <c r="U29" s="8">
        <f t="shared" si="8"/>
        <v>23.575690461888122</v>
      </c>
      <c r="V29" s="8">
        <f t="shared" si="9"/>
        <v>23.336268371298704</v>
      </c>
      <c r="W29" s="24">
        <f t="shared" si="10"/>
        <v>0</v>
      </c>
      <c r="X29" s="88">
        <f t="shared" si="17"/>
        <v>76.084887520226729</v>
      </c>
      <c r="Z29" s="23">
        <f t="shared" si="11"/>
        <v>1</v>
      </c>
      <c r="AA29" s="24">
        <f t="shared" si="12"/>
        <v>0.45328563358074364</v>
      </c>
    </row>
    <row r="30" spans="1:27">
      <c r="A30" s="23">
        <v>25</v>
      </c>
      <c r="B30" s="8">
        <f t="shared" si="0"/>
        <v>71</v>
      </c>
      <c r="C30" s="79">
        <f>_xlfn.XLOOKUP(B30,qx_bg[Age],qx_bg[qx weighted])</f>
        <v>2.0431919999999999E-2</v>
      </c>
      <c r="D30" s="82" t="b">
        <f t="shared" si="1"/>
        <v>1</v>
      </c>
      <c r="E30" s="23" cm="1">
        <f t="array" ref="E30:H30">MMULT(E29:H29,'4_Transitions'!$B$4:$E$7)</f>
        <v>33.312594406863269</v>
      </c>
      <c r="F30" s="8">
        <v>29.249808362661323</v>
      </c>
      <c r="G30" s="8">
        <v>34.465049658418792</v>
      </c>
      <c r="H30" s="24">
        <v>902.97254757205633</v>
      </c>
      <c r="I30" s="68">
        <f t="shared" si="13"/>
        <v>1000</v>
      </c>
      <c r="J30" s="24">
        <f t="shared" si="14"/>
        <v>97.027452427943388</v>
      </c>
      <c r="L30" s="102">
        <f t="shared" si="2"/>
        <v>83181.548233937589</v>
      </c>
      <c r="M30" s="43">
        <f t="shared" si="3"/>
        <v>84912.193676805822</v>
      </c>
      <c r="N30" s="43">
        <f t="shared" si="4"/>
        <v>123436.5753516269</v>
      </c>
      <c r="O30" s="103">
        <f t="shared" si="5"/>
        <v>0</v>
      </c>
      <c r="P30" s="104">
        <f t="shared" si="15"/>
        <v>291530.31726237031</v>
      </c>
      <c r="Q30" s="43">
        <f t="shared" si="6"/>
        <v>2656.12651021495</v>
      </c>
      <c r="R30" s="103">
        <f t="shared" si="16"/>
        <v>294186.44377258525</v>
      </c>
      <c r="T30" s="23">
        <f t="shared" si="7"/>
        <v>25.317571749216086</v>
      </c>
      <c r="U30" s="8">
        <f t="shared" si="8"/>
        <v>20.767363937489538</v>
      </c>
      <c r="V30" s="8">
        <f t="shared" si="9"/>
        <v>21.023680291635461</v>
      </c>
      <c r="W30" s="24">
        <f t="shared" si="10"/>
        <v>0</v>
      </c>
      <c r="X30" s="88">
        <f t="shared" si="17"/>
        <v>67.108615978341078</v>
      </c>
      <c r="Z30" s="23">
        <f t="shared" si="11"/>
        <v>1</v>
      </c>
      <c r="AA30" s="24">
        <f t="shared" si="12"/>
        <v>0.43795713389443841</v>
      </c>
    </row>
    <row r="31" spans="1:27">
      <c r="A31" s="23">
        <v>26</v>
      </c>
      <c r="B31" s="8">
        <f t="shared" si="0"/>
        <v>72</v>
      </c>
      <c r="C31" s="79">
        <f>_xlfn.XLOOKUP(B31,qx_bg[Age],qx_bg[qx weighted])</f>
        <v>2.2478600000000001E-2</v>
      </c>
      <c r="D31" s="82" t="b">
        <f t="shared" si="1"/>
        <v>1</v>
      </c>
      <c r="E31" s="23" cm="1">
        <f t="array" ref="E31:H31">MMULT(E30:H30,'4_Transitions'!$B$4:$E$7)</f>
        <v>28.910158732982246</v>
      </c>
      <c r="F31" s="8">
        <v>25.73183560529095</v>
      </c>
      <c r="G31" s="8">
        <v>30.963911152654163</v>
      </c>
      <c r="H31" s="24">
        <v>914.39409450907237</v>
      </c>
      <c r="I31" s="68">
        <f t="shared" si="13"/>
        <v>1000</v>
      </c>
      <c r="J31" s="24">
        <f t="shared" si="14"/>
        <v>85.605905490927356</v>
      </c>
      <c r="L31" s="102">
        <f t="shared" si="2"/>
        <v>72188.666356256668</v>
      </c>
      <c r="M31" s="43">
        <f t="shared" si="3"/>
        <v>74699.518762159627</v>
      </c>
      <c r="N31" s="43">
        <f t="shared" si="4"/>
        <v>110897.24779323088</v>
      </c>
      <c r="O31" s="103">
        <f t="shared" si="5"/>
        <v>0</v>
      </c>
      <c r="P31" s="104">
        <f t="shared" si="15"/>
        <v>257785.43291164719</v>
      </c>
      <c r="Q31" s="43">
        <f t="shared" si="6"/>
        <v>2343.4616628141362</v>
      </c>
      <c r="R31" s="103">
        <f t="shared" si="16"/>
        <v>260128.89457446133</v>
      </c>
      <c r="T31" s="23">
        <f t="shared" si="7"/>
        <v>21.971720637066507</v>
      </c>
      <c r="U31" s="8">
        <f t="shared" si="8"/>
        <v>18.269603279756573</v>
      </c>
      <c r="V31" s="8">
        <f t="shared" si="9"/>
        <v>18.88798580311904</v>
      </c>
      <c r="W31" s="24">
        <f t="shared" si="10"/>
        <v>0</v>
      </c>
      <c r="X31" s="88">
        <f t="shared" si="17"/>
        <v>59.129309719942114</v>
      </c>
      <c r="Z31" s="23">
        <f t="shared" si="11"/>
        <v>1</v>
      </c>
      <c r="AA31" s="24">
        <f t="shared" si="12"/>
        <v>0.42314698926998884</v>
      </c>
    </row>
    <row r="32" spans="1:27">
      <c r="A32" s="23">
        <v>27</v>
      </c>
      <c r="B32" s="8">
        <f t="shared" si="0"/>
        <v>73</v>
      </c>
      <c r="C32" s="79">
        <f>_xlfn.XLOOKUP(B32,qx_bg[Age],qx_bg[qx weighted])</f>
        <v>2.4292939999999999E-2</v>
      </c>
      <c r="D32" s="82" t="b">
        <f t="shared" si="1"/>
        <v>1</v>
      </c>
      <c r="E32" s="23" cm="1">
        <f t="array" ref="E32:H32">MMULT(E31:H31,'4_Transitions'!$B$4:$E$7)</f>
        <v>25.089528235424183</v>
      </c>
      <c r="F32" s="8">
        <v>22.610285754443151</v>
      </c>
      <c r="G32" s="8">
        <v>27.748324243683324</v>
      </c>
      <c r="H32" s="24">
        <v>924.55186176644906</v>
      </c>
      <c r="I32" s="68">
        <f t="shared" si="13"/>
        <v>1000</v>
      </c>
      <c r="J32" s="24">
        <f t="shared" si="14"/>
        <v>75.448138233550665</v>
      </c>
      <c r="L32" s="102">
        <f t="shared" si="2"/>
        <v>62648.552003854187</v>
      </c>
      <c r="M32" s="43">
        <f t="shared" si="3"/>
        <v>65637.659545148461</v>
      </c>
      <c r="N32" s="43">
        <f t="shared" si="4"/>
        <v>99380.623278751824</v>
      </c>
      <c r="O32" s="103">
        <f t="shared" si="5"/>
        <v>0</v>
      </c>
      <c r="P32" s="104">
        <f t="shared" si="15"/>
        <v>227666.83482775447</v>
      </c>
      <c r="Q32" s="43">
        <f t="shared" si="6"/>
        <v>2065.3927841434493</v>
      </c>
      <c r="R32" s="103">
        <f t="shared" si="16"/>
        <v>229732.22761189792</v>
      </c>
      <c r="T32" s="23">
        <f t="shared" si="7"/>
        <v>19.06804145892238</v>
      </c>
      <c r="U32" s="8">
        <f t="shared" si="8"/>
        <v>16.053302885654638</v>
      </c>
      <c r="V32" s="8">
        <f t="shared" si="9"/>
        <v>16.926477788646828</v>
      </c>
      <c r="W32" s="24">
        <f t="shared" si="10"/>
        <v>0</v>
      </c>
      <c r="X32" s="88">
        <f t="shared" si="17"/>
        <v>52.047822133223846</v>
      </c>
      <c r="Z32" s="23">
        <f t="shared" si="11"/>
        <v>1</v>
      </c>
      <c r="AA32" s="24">
        <f t="shared" si="12"/>
        <v>0.40883767079225974</v>
      </c>
    </row>
    <row r="33" spans="1:27">
      <c r="A33" s="23">
        <v>28</v>
      </c>
      <c r="B33" s="8">
        <f t="shared" si="0"/>
        <v>74</v>
      </c>
      <c r="C33" s="79">
        <f>_xlfn.XLOOKUP(B33,qx_bg[Age],qx_bg[qx weighted])</f>
        <v>2.6527039999999998E-2</v>
      </c>
      <c r="D33" s="82" t="b">
        <f t="shared" si="1"/>
        <v>1</v>
      </c>
      <c r="E33" s="23" cm="1">
        <f t="array" ref="E33:H33">MMULT(E32:H32,'4_Transitions'!$B$4:$E$7)</f>
        <v>21.773814280652772</v>
      </c>
      <c r="F33" s="8">
        <v>19.846268933697957</v>
      </c>
      <c r="G33" s="8">
        <v>24.809312702034617</v>
      </c>
      <c r="H33" s="24">
        <v>933.5706040836144</v>
      </c>
      <c r="I33" s="68">
        <f t="shared" si="13"/>
        <v>1000</v>
      </c>
      <c r="J33" s="24">
        <f t="shared" si="14"/>
        <v>66.429395916385346</v>
      </c>
      <c r="L33" s="102">
        <f t="shared" si="2"/>
        <v>54369.214258789973</v>
      </c>
      <c r="M33" s="43">
        <f t="shared" si="3"/>
        <v>57613.718714525166</v>
      </c>
      <c r="N33" s="43">
        <f t="shared" si="4"/>
        <v>88854.553442336983</v>
      </c>
      <c r="O33" s="103">
        <f t="shared" si="5"/>
        <v>0</v>
      </c>
      <c r="P33" s="104">
        <f t="shared" si="15"/>
        <v>200837.48641565212</v>
      </c>
      <c r="Q33" s="43">
        <f t="shared" si="6"/>
        <v>1818.5047132110485</v>
      </c>
      <c r="R33" s="103">
        <f t="shared" si="16"/>
        <v>202655.99112886318</v>
      </c>
      <c r="T33" s="23">
        <f t="shared" si="7"/>
        <v>16.548098853296107</v>
      </c>
      <c r="U33" s="8">
        <f t="shared" si="8"/>
        <v>14.090850942925549</v>
      </c>
      <c r="V33" s="8">
        <f t="shared" si="9"/>
        <v>15.133680748241117</v>
      </c>
      <c r="W33" s="24">
        <f t="shared" si="10"/>
        <v>0</v>
      </c>
      <c r="X33" s="88">
        <f t="shared" si="17"/>
        <v>45.772630544462771</v>
      </c>
      <c r="Z33" s="23">
        <f t="shared" si="11"/>
        <v>1</v>
      </c>
      <c r="AA33" s="24">
        <f t="shared" si="12"/>
        <v>0.39501224231136206</v>
      </c>
    </row>
    <row r="34" spans="1:27">
      <c r="A34" s="23">
        <v>29</v>
      </c>
      <c r="B34" s="8">
        <f t="shared" si="0"/>
        <v>75</v>
      </c>
      <c r="C34" s="79">
        <f>_xlfn.XLOOKUP(B34,qx_bg[Age],qx_bg[qx weighted])</f>
        <v>2.9018819999999997E-2</v>
      </c>
      <c r="D34" s="82" t="b">
        <f t="shared" si="1"/>
        <v>1</v>
      </c>
      <c r="E34" s="23" cm="1">
        <f t="array" ref="E34:H34">MMULT(E33:H33,'4_Transitions'!$B$4:$E$7)</f>
        <v>18.896289475023806</v>
      </c>
      <c r="F34" s="8">
        <v>17.40337421667283</v>
      </c>
      <c r="G34" s="8">
        <v>22.134658505396363</v>
      </c>
      <c r="H34" s="24">
        <v>941.56567780290675</v>
      </c>
      <c r="I34" s="68">
        <f t="shared" si="13"/>
        <v>1000</v>
      </c>
      <c r="J34" s="24">
        <f t="shared" si="14"/>
        <v>58.434322197092996</v>
      </c>
      <c r="L34" s="102">
        <f t="shared" si="2"/>
        <v>47184.034819134446</v>
      </c>
      <c r="M34" s="43">
        <f t="shared" si="3"/>
        <v>50521.995351001227</v>
      </c>
      <c r="N34" s="43">
        <f t="shared" si="4"/>
        <v>79275.279437077072</v>
      </c>
      <c r="O34" s="103">
        <f t="shared" si="5"/>
        <v>0</v>
      </c>
      <c r="P34" s="104">
        <f t="shared" si="15"/>
        <v>176981.30960721272</v>
      </c>
      <c r="Q34" s="43">
        <f t="shared" si="6"/>
        <v>1599.6395701454205</v>
      </c>
      <c r="R34" s="103">
        <f t="shared" si="16"/>
        <v>178580.94917735815</v>
      </c>
      <c r="T34" s="23">
        <f t="shared" si="7"/>
        <v>14.361180001018093</v>
      </c>
      <c r="U34" s="8">
        <f t="shared" si="8"/>
        <v>12.356395693837708</v>
      </c>
      <c r="V34" s="8">
        <f t="shared" si="9"/>
        <v>13.502141688291781</v>
      </c>
      <c r="W34" s="24">
        <f t="shared" si="10"/>
        <v>0</v>
      </c>
      <c r="X34" s="88">
        <f t="shared" si="17"/>
        <v>40.219717383147582</v>
      </c>
      <c r="Z34" s="23">
        <f t="shared" si="11"/>
        <v>1</v>
      </c>
      <c r="AA34" s="24">
        <f t="shared" si="12"/>
        <v>0.38165434039745127</v>
      </c>
    </row>
    <row r="35" spans="1:27" ht="15.75" thickBot="1">
      <c r="A35" s="25">
        <v>30</v>
      </c>
      <c r="B35" s="26">
        <f t="shared" si="0"/>
        <v>76</v>
      </c>
      <c r="C35" s="80">
        <f>_xlfn.XLOOKUP(B35,qx_bg[Age],qx_bg[qx weighted])</f>
        <v>3.2274779999999996E-2</v>
      </c>
      <c r="D35" s="83" t="b">
        <f t="shared" si="1"/>
        <v>1</v>
      </c>
      <c r="E35" s="25" cm="1">
        <f t="array" ref="E35:H35">MMULT(E34:H34,'4_Transitions'!$B$4:$E$7)</f>
        <v>16.399044803150154</v>
      </c>
      <c r="F35" s="26">
        <v>15.247866376181902</v>
      </c>
      <c r="G35" s="26">
        <v>19.709952872416075</v>
      </c>
      <c r="H35" s="27">
        <v>948.6431359482516</v>
      </c>
      <c r="I35" s="84">
        <f t="shared" si="13"/>
        <v>1000</v>
      </c>
      <c r="J35" s="27">
        <f t="shared" si="14"/>
        <v>51.356864051748133</v>
      </c>
      <c r="L35" s="105">
        <f t="shared" si="2"/>
        <v>40948.414873465932</v>
      </c>
      <c r="M35" s="46">
        <f t="shared" si="3"/>
        <v>44264.556090056059</v>
      </c>
      <c r="N35" s="46">
        <f t="shared" si="4"/>
        <v>70591.196212558178</v>
      </c>
      <c r="O35" s="106">
        <f t="shared" si="5"/>
        <v>0</v>
      </c>
      <c r="P35" s="107">
        <f t="shared" si="15"/>
        <v>155804.16717608017</v>
      </c>
      <c r="Q35" s="46">
        <f t="shared" si="6"/>
        <v>1405.8941534166049</v>
      </c>
      <c r="R35" s="106">
        <f t="shared" si="16"/>
        <v>157210.06132949676</v>
      </c>
      <c r="T35" s="25">
        <f t="shared" si="7"/>
        <v>12.463274050394118</v>
      </c>
      <c r="U35" s="26">
        <f t="shared" si="8"/>
        <v>10.825985127089149</v>
      </c>
      <c r="V35" s="26">
        <f t="shared" si="9"/>
        <v>12.023071252173805</v>
      </c>
      <c r="W35" s="27">
        <f t="shared" si="10"/>
        <v>0</v>
      </c>
      <c r="X35" s="89">
        <f t="shared" si="17"/>
        <v>35.312330429657074</v>
      </c>
      <c r="Z35" s="23">
        <f t="shared" si="11"/>
        <v>1</v>
      </c>
      <c r="AA35" s="24">
        <f t="shared" si="12"/>
        <v>0.36874815497338298</v>
      </c>
    </row>
    <row r="36" spans="1:27" ht="15.75" thickBot="1">
      <c r="A36" s="25">
        <v>31</v>
      </c>
      <c r="B36" s="26">
        <f t="shared" si="0"/>
        <v>77</v>
      </c>
      <c r="C36" s="80">
        <f>_xlfn.XLOOKUP(B36,qx_bg[Age],qx_bg[qx weighted])</f>
        <v>3.5604799999999999E-2</v>
      </c>
      <c r="D36" s="83" t="b">
        <f t="shared" si="1"/>
        <v>1</v>
      </c>
      <c r="E36" s="25" cm="1">
        <f t="array" ref="E36:H36">MMULT(E35:H35,'4_Transitions'!$B$4:$E$7)</f>
        <v>14.231824232539562</v>
      </c>
      <c r="F36" s="26">
        <v>13.348753289255585</v>
      </c>
      <c r="G36" s="26">
        <v>17.519436115730439</v>
      </c>
      <c r="H36" s="27">
        <v>954.89998636247412</v>
      </c>
      <c r="I36" s="84">
        <f t="shared" ref="I36" si="18">ROUND(SUM(E36:H36),5)</f>
        <v>1000</v>
      </c>
      <c r="J36" s="27">
        <f t="shared" ref="J36" si="19">SUM(E36:G36)</f>
        <v>45.100013637525592</v>
      </c>
      <c r="L36" s="105">
        <f t="shared" si="2"/>
        <v>35536.865108651284</v>
      </c>
      <c r="M36" s="46">
        <f t="shared" si="3"/>
        <v>38751.430798708963</v>
      </c>
      <c r="N36" s="46">
        <f t="shared" si="4"/>
        <v>62745.860448488565</v>
      </c>
      <c r="O36" s="106">
        <f t="shared" si="5"/>
        <v>0</v>
      </c>
      <c r="P36" s="107">
        <f t="shared" ref="P36" si="20">SUM(L36:O36)</f>
        <v>137034.1563558488</v>
      </c>
      <c r="Q36" s="46">
        <f t="shared" si="6"/>
        <v>1234.6128733272628</v>
      </c>
      <c r="R36" s="106">
        <f t="shared" ref="R36" si="21">P36+Q36</f>
        <v>138268.76922917605</v>
      </c>
      <c r="T36" s="25">
        <f t="shared" si="7"/>
        <v>10.816186416730067</v>
      </c>
      <c r="U36" s="26">
        <f t="shared" si="8"/>
        <v>9.4776148353714653</v>
      </c>
      <c r="V36" s="26">
        <f t="shared" si="9"/>
        <v>10.686856030595568</v>
      </c>
      <c r="W36" s="27">
        <f t="shared" si="10"/>
        <v>0</v>
      </c>
      <c r="X36" s="89">
        <f t="shared" ref="X36" si="22">SUM(T36:W36)</f>
        <v>30.980657282697099</v>
      </c>
      <c r="Z36" s="25">
        <f t="shared" si="11"/>
        <v>0.5</v>
      </c>
      <c r="AA36" s="27">
        <f t="shared" si="12"/>
        <v>0.35627841060230236</v>
      </c>
    </row>
    <row r="37" spans="1:27" ht="15.75" thickBot="1"/>
    <row r="38" spans="1:27" ht="15.75" thickBot="1">
      <c r="I38" s="98" t="s">
        <v>282</v>
      </c>
      <c r="J38" s="99">
        <f>SUMPRODUCT(J6:J36,$Z$6:$Z$36)/n_cohort</f>
        <v>11.1614009440214</v>
      </c>
      <c r="K38" s="98" t="s">
        <v>281</v>
      </c>
      <c r="L38" s="108">
        <f t="shared" ref="L38:R38" si="23">SUMPRODUCT(L6:L36,$Z$6:$Z$36,$AA$6:$AA$36)/n_cohort</f>
        <v>14140.477391714117</v>
      </c>
      <c r="M38" s="108">
        <f t="shared" si="23"/>
        <v>5142.3570264024929</v>
      </c>
      <c r="N38" s="108">
        <f t="shared" si="23"/>
        <v>3968.7592184942182</v>
      </c>
      <c r="O38" s="108">
        <f t="shared" si="23"/>
        <v>0</v>
      </c>
      <c r="P38" s="108">
        <f t="shared" si="23"/>
        <v>23251.593636610829</v>
      </c>
      <c r="Q38" s="108">
        <f t="shared" si="23"/>
        <v>233.85116432645188</v>
      </c>
      <c r="R38" s="109">
        <f t="shared" si="23"/>
        <v>23485.444800937286</v>
      </c>
      <c r="S38" s="100"/>
      <c r="T38" s="100">
        <f>SUMPRODUCT(T6:T36,$Z$6:$Z$36,$AA$6:$AA$36)/n_cohort</f>
        <v>4.3038697708060587</v>
      </c>
      <c r="U38" s="100">
        <f>SUMPRODUCT(U6:U36,$Z$6:$Z$36,$AA$6:$AA$36)/n_cohort</f>
        <v>1.2576897997746368</v>
      </c>
      <c r="V38" s="100">
        <f>SUMPRODUCT(V6:V36,$Z$6:$Z$36,$AA$6:$AA$36)/n_cohort</f>
        <v>0.67595787331606128</v>
      </c>
      <c r="W38" s="100">
        <f>SUMPRODUCT(W6:W36,$Z$6:$Z$36,$AA$6:$AA$36)/n_cohort</f>
        <v>0</v>
      </c>
      <c r="X38" s="101">
        <f>SUMPRODUCT(X6:X36,$Z$6:$Z$36,$AA$6:$AA$36)/n_cohort</f>
        <v>6.2375174438967544</v>
      </c>
    </row>
    <row r="39" spans="1:27">
      <c r="I39" t="s">
        <v>283</v>
      </c>
    </row>
  </sheetData>
  <conditionalFormatting sqref="I6:I36">
    <cfRule type="cellIs" dxfId="5" priority="1" operator="equal">
      <formula>1000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ABF3-7BA9-4D0E-A9E0-309B44942EE3}">
  <dimension ref="A1:AA39"/>
  <sheetViews>
    <sheetView workbookViewId="0">
      <selection activeCell="G40" sqref="G40"/>
    </sheetView>
  </sheetViews>
  <sheetFormatPr defaultRowHeight="15"/>
  <cols>
    <col min="1" max="1" width="26.85546875" customWidth="1"/>
    <col min="3" max="3" width="9.5703125" bestFit="1" customWidth="1"/>
    <col min="4" max="4" width="10.28515625" bestFit="1" customWidth="1"/>
    <col min="8" max="8" width="5.5703125" bestFit="1" customWidth="1"/>
    <col min="9" max="9" width="23.85546875" bestFit="1" customWidth="1"/>
    <col min="10" max="10" width="5.5703125" bestFit="1" customWidth="1"/>
    <col min="11" max="11" width="23" bestFit="1" customWidth="1"/>
    <col min="12" max="12" width="14.28515625" bestFit="1" customWidth="1"/>
    <col min="13" max="14" width="12.5703125" bestFit="1" customWidth="1"/>
    <col min="15" max="15" width="13" bestFit="1" customWidth="1"/>
    <col min="16" max="16" width="14.5703125" bestFit="1" customWidth="1"/>
    <col min="17" max="17" width="17.140625" bestFit="1" customWidth="1"/>
    <col min="18" max="18" width="16.140625" bestFit="1" customWidth="1"/>
    <col min="23" max="23" width="10.5703125" bestFit="1" customWidth="1"/>
    <col min="24" max="24" width="11.28515625" bestFit="1" customWidth="1"/>
    <col min="26" max="26" width="16.42578125" bestFit="1" customWidth="1"/>
    <col min="27" max="27" width="14.42578125" bestFit="1" customWidth="1"/>
  </cols>
  <sheetData>
    <row r="1" spans="1:27" s="94" customFormat="1" ht="31.5">
      <c r="A1" s="94" t="s">
        <v>284</v>
      </c>
      <c r="D1" s="95"/>
      <c r="H1" s="96"/>
      <c r="I1" s="95"/>
    </row>
    <row r="2" spans="1:27" s="94" customFormat="1" ht="17.25" customHeight="1">
      <c r="A2" s="97" t="s">
        <v>276</v>
      </c>
    </row>
    <row r="4" spans="1:27" ht="32.25" thickBot="1">
      <c r="A4" s="94" t="s">
        <v>277</v>
      </c>
      <c r="B4" s="94"/>
      <c r="C4" s="94"/>
      <c r="D4" s="94"/>
      <c r="E4" s="94"/>
      <c r="F4" s="94"/>
      <c r="G4" s="94"/>
      <c r="H4" s="94"/>
      <c r="I4" s="94"/>
      <c r="J4" s="94"/>
      <c r="L4" s="94" t="s">
        <v>278</v>
      </c>
      <c r="M4" s="94"/>
      <c r="N4" s="94"/>
      <c r="O4" s="94"/>
      <c r="P4" s="94"/>
      <c r="Q4" s="94"/>
      <c r="R4" s="94"/>
      <c r="T4" s="94" t="s">
        <v>279</v>
      </c>
      <c r="U4" s="94"/>
      <c r="V4" s="94"/>
      <c r="W4" s="94"/>
      <c r="X4" s="94"/>
      <c r="Z4" s="94" t="s">
        <v>280</v>
      </c>
      <c r="AA4" s="94"/>
    </row>
    <row r="5" spans="1:27">
      <c r="A5" s="10" t="s">
        <v>200</v>
      </c>
      <c r="B5" s="11" t="s">
        <v>201</v>
      </c>
      <c r="C5" s="11" t="s">
        <v>248</v>
      </c>
      <c r="D5" s="81" t="s">
        <v>249</v>
      </c>
      <c r="E5" s="85" t="s">
        <v>250</v>
      </c>
      <c r="F5" s="86" t="s">
        <v>251</v>
      </c>
      <c r="G5" s="86" t="s">
        <v>252</v>
      </c>
      <c r="H5" s="87" t="s">
        <v>253</v>
      </c>
      <c r="I5" s="67" t="s">
        <v>254</v>
      </c>
      <c r="J5" s="12" t="s">
        <v>255</v>
      </c>
      <c r="L5" s="85" t="s">
        <v>260</v>
      </c>
      <c r="M5" s="86" t="s">
        <v>261</v>
      </c>
      <c r="N5" s="86" t="s">
        <v>262</v>
      </c>
      <c r="O5" s="87" t="s">
        <v>264</v>
      </c>
      <c r="P5" s="67" t="s">
        <v>263</v>
      </c>
      <c r="Q5" s="11" t="s">
        <v>256</v>
      </c>
      <c r="R5" s="12" t="s">
        <v>257</v>
      </c>
      <c r="T5" s="85" t="s">
        <v>265</v>
      </c>
      <c r="U5" s="86" t="s">
        <v>266</v>
      </c>
      <c r="V5" s="86" t="s">
        <v>267</v>
      </c>
      <c r="W5" s="87" t="s">
        <v>268</v>
      </c>
      <c r="X5" s="90" t="s">
        <v>269</v>
      </c>
      <c r="Z5" s="10" t="s">
        <v>258</v>
      </c>
      <c r="AA5" s="12" t="s">
        <v>259</v>
      </c>
    </row>
    <row r="6" spans="1:27">
      <c r="A6" s="23">
        <v>1</v>
      </c>
      <c r="B6" s="8">
        <f t="shared" ref="B6:B36" si="0">ROUND(age_start,0)+(A6-1)</f>
        <v>47</v>
      </c>
      <c r="C6" s="79">
        <f>_xlfn.XLOOKUP(B6,qx_bg[Age],qx_bg[qx weighted])</f>
        <v>2.69032E-3</v>
      </c>
      <c r="D6" s="82" t="b">
        <f t="shared" ref="D6:D36" si="1">C6&lt;ev_14</f>
        <v>1</v>
      </c>
      <c r="E6" s="23">
        <f>n_cohort</f>
        <v>1000</v>
      </c>
      <c r="F6" s="8">
        <v>0</v>
      </c>
      <c r="G6" s="8">
        <v>0</v>
      </c>
      <c r="H6" s="24">
        <v>0</v>
      </c>
      <c r="I6" s="68">
        <f>ROUND(SUM(E6:H6),5)</f>
        <v>1000</v>
      </c>
      <c r="J6" s="24">
        <f>SUM(E6:G6)</f>
        <v>1000</v>
      </c>
      <c r="L6" s="102">
        <f t="shared" ref="L6:L36" si="2">E6*C_1</f>
        <v>2497000</v>
      </c>
      <c r="M6" s="43">
        <f t="shared" ref="M6:M36" si="3">F6*C_2</f>
        <v>0</v>
      </c>
      <c r="N6" s="43">
        <f t="shared" ref="N6:N36" si="4">G6*C_3</f>
        <v>0</v>
      </c>
      <c r="O6" s="103">
        <f t="shared" ref="O6:O36" si="5">H6*C_4</f>
        <v>0</v>
      </c>
      <c r="P6" s="104">
        <f>SUM(L6:O6)</f>
        <v>2497000</v>
      </c>
      <c r="Q6" s="43">
        <f t="shared" ref="Q6:Q36" si="6">J6*c_eve</f>
        <v>5420250</v>
      </c>
      <c r="R6" s="103">
        <f>P6+Q6</f>
        <v>7917250</v>
      </c>
      <c r="T6" s="23">
        <f t="shared" ref="T6:T36" si="7">E6*u_1</f>
        <v>760</v>
      </c>
      <c r="U6" s="8">
        <f t="shared" ref="U6:U36" si="8">F6*u_2</f>
        <v>0</v>
      </c>
      <c r="V6" s="8">
        <f t="shared" ref="V6:V36" si="9">G6*u_3</f>
        <v>0</v>
      </c>
      <c r="W6" s="24">
        <f t="shared" ref="W6:W36" si="10">H6*u_4</f>
        <v>0</v>
      </c>
      <c r="X6" s="88">
        <f>SUM(T6:W6)</f>
        <v>760</v>
      </c>
      <c r="Z6" s="23">
        <f t="shared" ref="Z6:Z36" si="11">IF(OR(A6=1,A6=horizon+1),0.5,1)</f>
        <v>0.5</v>
      </c>
      <c r="AA6" s="24">
        <f t="shared" ref="AA6:AA36" si="12">1/(1+disc)^(A6-1)</f>
        <v>1</v>
      </c>
    </row>
    <row r="7" spans="1:27">
      <c r="A7" s="23">
        <v>2</v>
      </c>
      <c r="B7" s="8">
        <f t="shared" si="0"/>
        <v>48</v>
      </c>
      <c r="C7" s="79">
        <f>_xlfn.XLOOKUP(B7,qx_bg[Age],qx_bg[qx weighted])</f>
        <v>2.8965599999999998E-3</v>
      </c>
      <c r="D7" s="82" t="b">
        <f t="shared" si="1"/>
        <v>1</v>
      </c>
      <c r="E7" s="23" cm="1">
        <f t="array" ref="E7:H7">MMULT(E6:H6,'4_Transitions'!$B$13:$E$16)</f>
        <v>894.32734504468999</v>
      </c>
      <c r="F7" s="8">
        <v>45.60125962036598</v>
      </c>
      <c r="G7" s="8">
        <v>9.6870548596336405</v>
      </c>
      <c r="H7" s="24">
        <v>50.384340475310374</v>
      </c>
      <c r="I7" s="68">
        <f t="shared" ref="I7:I36" si="13">ROUND(SUM(E7:H7),5)</f>
        <v>1000</v>
      </c>
      <c r="J7" s="24">
        <f t="shared" ref="J7:J36" si="14">SUM(E7:G7)</f>
        <v>949.6156595246897</v>
      </c>
      <c r="L7" s="102">
        <f t="shared" si="2"/>
        <v>2233135.380576591</v>
      </c>
      <c r="M7" s="43">
        <f t="shared" si="3"/>
        <v>132380.45667792243</v>
      </c>
      <c r="N7" s="43">
        <f t="shared" si="4"/>
        <v>34694.186979777885</v>
      </c>
      <c r="O7" s="103">
        <f t="shared" si="5"/>
        <v>0</v>
      </c>
      <c r="P7" s="104">
        <f t="shared" ref="P7:P36" si="15">SUM(L7:O7)</f>
        <v>2400210.0242342916</v>
      </c>
      <c r="Q7" s="43">
        <f t="shared" si="6"/>
        <v>5147154.2785386993</v>
      </c>
      <c r="R7" s="103">
        <f t="shared" ref="R7:R36" si="16">P7+Q7</f>
        <v>7547364.3027729914</v>
      </c>
      <c r="T7" s="23">
        <f t="shared" si="7"/>
        <v>679.68878223396439</v>
      </c>
      <c r="U7" s="8">
        <f t="shared" si="8"/>
        <v>32.376894330459841</v>
      </c>
      <c r="V7" s="8">
        <f t="shared" si="9"/>
        <v>5.9091034643765203</v>
      </c>
      <c r="W7" s="24">
        <f t="shared" si="10"/>
        <v>0</v>
      </c>
      <c r="X7" s="88">
        <f t="shared" ref="X7:X36" si="17">SUM(T7:W7)</f>
        <v>717.97478002880075</v>
      </c>
      <c r="Z7" s="23">
        <f t="shared" si="11"/>
        <v>1</v>
      </c>
      <c r="AA7" s="24">
        <f t="shared" si="12"/>
        <v>0.96618357487922713</v>
      </c>
    </row>
    <row r="8" spans="1:27">
      <c r="A8" s="23">
        <v>3</v>
      </c>
      <c r="B8" s="8">
        <f t="shared" si="0"/>
        <v>49</v>
      </c>
      <c r="C8" s="79">
        <f>_xlfn.XLOOKUP(B8,qx_bg[Age],qx_bg[qx weighted])</f>
        <v>3.2076600000000002E-3</v>
      </c>
      <c r="D8" s="82" t="b">
        <f t="shared" si="1"/>
        <v>1</v>
      </c>
      <c r="E8" s="23" cm="1">
        <f t="array" ref="E8:H8">MMULT(E7:H7,'4_Transitions'!$B$13:$E$16)</f>
        <v>799.82140009468401</v>
      </c>
      <c r="F8" s="8">
        <v>77.396381193951939</v>
      </c>
      <c r="G8" s="8">
        <v>21.029019044127942</v>
      </c>
      <c r="H8" s="24">
        <v>101.75319966723609</v>
      </c>
      <c r="I8" s="68">
        <f t="shared" si="13"/>
        <v>1000</v>
      </c>
      <c r="J8" s="24">
        <f t="shared" si="14"/>
        <v>898.24680033276388</v>
      </c>
      <c r="L8" s="102">
        <f t="shared" si="2"/>
        <v>1997154.036036426</v>
      </c>
      <c r="M8" s="43">
        <f t="shared" si="3"/>
        <v>224681.69460604247</v>
      </c>
      <c r="N8" s="43">
        <f t="shared" si="4"/>
        <v>75315.43170654423</v>
      </c>
      <c r="O8" s="103">
        <f t="shared" si="5"/>
        <v>0</v>
      </c>
      <c r="P8" s="104">
        <f t="shared" si="15"/>
        <v>2297151.1623490127</v>
      </c>
      <c r="Q8" s="43">
        <f t="shared" si="6"/>
        <v>4868722.2195036635</v>
      </c>
      <c r="R8" s="103">
        <f t="shared" si="16"/>
        <v>7165873.3818526762</v>
      </c>
      <c r="T8" s="23">
        <f t="shared" si="7"/>
        <v>607.86426407195984</v>
      </c>
      <c r="U8" s="8">
        <f t="shared" si="8"/>
        <v>54.951430647705877</v>
      </c>
      <c r="V8" s="8">
        <f t="shared" si="9"/>
        <v>12.827701616918045</v>
      </c>
      <c r="W8" s="24">
        <f t="shared" si="10"/>
        <v>0</v>
      </c>
      <c r="X8" s="88">
        <f t="shared" si="17"/>
        <v>675.64339633658381</v>
      </c>
      <c r="Z8" s="23">
        <f t="shared" si="11"/>
        <v>1</v>
      </c>
      <c r="AA8" s="24">
        <f t="shared" si="12"/>
        <v>0.93351070036640305</v>
      </c>
    </row>
    <row r="9" spans="1:27">
      <c r="A9" s="23">
        <v>4</v>
      </c>
      <c r="B9" s="8">
        <f t="shared" si="0"/>
        <v>50</v>
      </c>
      <c r="C9" s="79">
        <f>_xlfn.XLOOKUP(B9,qx_bg[Age],qx_bg[qx weighted])</f>
        <v>3.5224199999999996E-3</v>
      </c>
      <c r="D9" s="82" t="b">
        <f t="shared" si="1"/>
        <v>1</v>
      </c>
      <c r="E9" s="23" cm="1">
        <f t="array" ref="E9:H9">MMULT(E8:H8,'4_Transitions'!$B$13:$E$16)</f>
        <v>715.3021492566055</v>
      </c>
      <c r="F9" s="8">
        <v>98.615565787115315</v>
      </c>
      <c r="G9" s="8">
        <v>32.398056740233223</v>
      </c>
      <c r="H9" s="24">
        <v>153.68422821604591</v>
      </c>
      <c r="I9" s="68">
        <f t="shared" si="13"/>
        <v>1000</v>
      </c>
      <c r="J9" s="24">
        <f t="shared" si="14"/>
        <v>846.31577178395401</v>
      </c>
      <c r="L9" s="102">
        <f t="shared" si="2"/>
        <v>1786109.4666937438</v>
      </c>
      <c r="M9" s="43">
        <f t="shared" si="3"/>
        <v>286280.98747999576</v>
      </c>
      <c r="N9" s="43">
        <f t="shared" si="4"/>
        <v>116033.64021514529</v>
      </c>
      <c r="O9" s="103">
        <f t="shared" si="5"/>
        <v>0</v>
      </c>
      <c r="P9" s="104">
        <f t="shared" si="15"/>
        <v>2188424.094388885</v>
      </c>
      <c r="Q9" s="43">
        <f t="shared" si="6"/>
        <v>4587243.0620119767</v>
      </c>
      <c r="R9" s="103">
        <f t="shared" si="16"/>
        <v>6775667.1564008612</v>
      </c>
      <c r="T9" s="23">
        <f t="shared" si="7"/>
        <v>543.6296334350202</v>
      </c>
      <c r="U9" s="8">
        <f t="shared" si="8"/>
        <v>70.017051708851866</v>
      </c>
      <c r="V9" s="8">
        <f t="shared" si="9"/>
        <v>19.762814611542264</v>
      </c>
      <c r="W9" s="24">
        <f t="shared" si="10"/>
        <v>0</v>
      </c>
      <c r="X9" s="88">
        <f t="shared" si="17"/>
        <v>633.40949975541434</v>
      </c>
      <c r="Z9" s="23">
        <f t="shared" si="11"/>
        <v>1</v>
      </c>
      <c r="AA9" s="24">
        <f t="shared" si="12"/>
        <v>0.90194270566802237</v>
      </c>
    </row>
    <row r="10" spans="1:27">
      <c r="A10" s="23">
        <v>5</v>
      </c>
      <c r="B10" s="8">
        <f t="shared" si="0"/>
        <v>51</v>
      </c>
      <c r="C10" s="79">
        <f>_xlfn.XLOOKUP(B10,qx_bg[Age],qx_bg[qx weighted])</f>
        <v>3.8046399999999998E-3</v>
      </c>
      <c r="D10" s="82" t="b">
        <f t="shared" si="1"/>
        <v>1</v>
      </c>
      <c r="E10" s="23" cm="1">
        <f t="array" ref="E10:H10">MMULT(E9:H9,'4_Transitions'!$B$13:$E$16)</f>
        <v>639.71427204942063</v>
      </c>
      <c r="F10" s="8">
        <v>111.79857953809315</v>
      </c>
      <c r="G10" s="8">
        <v>42.811229402443644</v>
      </c>
      <c r="H10" s="24">
        <v>205.67591901004255</v>
      </c>
      <c r="I10" s="68">
        <f t="shared" si="13"/>
        <v>1000</v>
      </c>
      <c r="J10" s="24">
        <f t="shared" si="14"/>
        <v>794.32408098995734</v>
      </c>
      <c r="L10" s="102">
        <f t="shared" si="2"/>
        <v>1597366.5373074033</v>
      </c>
      <c r="M10" s="43">
        <f t="shared" si="3"/>
        <v>324551.27639908443</v>
      </c>
      <c r="N10" s="43">
        <f t="shared" si="4"/>
        <v>153328.41810485191</v>
      </c>
      <c r="O10" s="103">
        <f t="shared" si="5"/>
        <v>0</v>
      </c>
      <c r="P10" s="104">
        <f t="shared" si="15"/>
        <v>2075246.2318113395</v>
      </c>
      <c r="Q10" s="43">
        <f t="shared" si="6"/>
        <v>4305435.0999858165</v>
      </c>
      <c r="R10" s="103">
        <f t="shared" si="16"/>
        <v>6380681.3317971565</v>
      </c>
      <c r="T10" s="23">
        <f t="shared" si="7"/>
        <v>486.18284675755967</v>
      </c>
      <c r="U10" s="8">
        <f t="shared" si="8"/>
        <v>79.376991472046129</v>
      </c>
      <c r="V10" s="8">
        <f t="shared" si="9"/>
        <v>26.114849935490621</v>
      </c>
      <c r="W10" s="24">
        <f t="shared" si="10"/>
        <v>0</v>
      </c>
      <c r="X10" s="88">
        <f t="shared" si="17"/>
        <v>591.67468816509643</v>
      </c>
      <c r="Z10" s="23">
        <f t="shared" si="11"/>
        <v>1</v>
      </c>
      <c r="AA10" s="24">
        <f t="shared" si="12"/>
        <v>0.87144222769857238</v>
      </c>
    </row>
    <row r="11" spans="1:27">
      <c r="A11" s="23">
        <v>6</v>
      </c>
      <c r="B11" s="8">
        <f t="shared" si="0"/>
        <v>52</v>
      </c>
      <c r="C11" s="79">
        <f>_xlfn.XLOOKUP(B11,qx_bg[Age],qx_bg[qx weighted])</f>
        <v>4.0482599999999997E-3</v>
      </c>
      <c r="D11" s="82" t="b">
        <f t="shared" si="1"/>
        <v>1</v>
      </c>
      <c r="E11" s="23" cm="1">
        <f t="array" ref="E11:H11">MMULT(E10:H10,'4_Transitions'!$B$13:$E$16)</f>
        <v>572.11396650915492</v>
      </c>
      <c r="F11" s="8">
        <v>118.9365144080714</v>
      </c>
      <c r="G11" s="8">
        <v>51.731540496714757</v>
      </c>
      <c r="H11" s="24">
        <v>257.2179785860589</v>
      </c>
      <c r="I11" s="68">
        <f t="shared" si="13"/>
        <v>1000</v>
      </c>
      <c r="J11" s="24">
        <f t="shared" si="14"/>
        <v>742.78202141394104</v>
      </c>
      <c r="L11" s="102">
        <f t="shared" si="2"/>
        <v>1428568.5743733598</v>
      </c>
      <c r="M11" s="43">
        <f t="shared" si="3"/>
        <v>345272.7013266313</v>
      </c>
      <c r="N11" s="43">
        <f t="shared" si="4"/>
        <v>185276.51228898391</v>
      </c>
      <c r="O11" s="103">
        <f t="shared" si="5"/>
        <v>0</v>
      </c>
      <c r="P11" s="104">
        <f t="shared" si="15"/>
        <v>1959117.7879889749</v>
      </c>
      <c r="Q11" s="43">
        <f t="shared" si="6"/>
        <v>4026064.2515689139</v>
      </c>
      <c r="R11" s="103">
        <f t="shared" si="16"/>
        <v>5985182.0395578891</v>
      </c>
      <c r="T11" s="23">
        <f t="shared" si="7"/>
        <v>434.80661454695775</v>
      </c>
      <c r="U11" s="8">
        <f t="shared" si="8"/>
        <v>84.444925229730686</v>
      </c>
      <c r="V11" s="8">
        <f t="shared" si="9"/>
        <v>31.556239702996002</v>
      </c>
      <c r="W11" s="24">
        <f t="shared" si="10"/>
        <v>0</v>
      </c>
      <c r="X11" s="88">
        <f t="shared" si="17"/>
        <v>550.80777947968443</v>
      </c>
      <c r="Z11" s="23">
        <f t="shared" si="11"/>
        <v>1</v>
      </c>
      <c r="AA11" s="24">
        <f t="shared" si="12"/>
        <v>0.84197316685852419</v>
      </c>
    </row>
    <row r="12" spans="1:27">
      <c r="A12" s="23">
        <v>7</v>
      </c>
      <c r="B12" s="8">
        <f t="shared" si="0"/>
        <v>53</v>
      </c>
      <c r="C12" s="79">
        <f>_xlfn.XLOOKUP(B12,qx_bg[Age],qx_bg[qx weighted])</f>
        <v>4.3113400000000003E-3</v>
      </c>
      <c r="D12" s="82" t="b">
        <f t="shared" si="1"/>
        <v>1</v>
      </c>
      <c r="E12" s="23" cm="1">
        <f t="array" ref="E12:H12">MMULT(E11:H11,'4_Transitions'!$B$13:$E$16)</f>
        <v>511.65716473111922</v>
      </c>
      <c r="F12" s="8">
        <v>121.58500910791503</v>
      </c>
      <c r="G12" s="8">
        <v>58.923367995666467</v>
      </c>
      <c r="H12" s="24">
        <v>307.83445816529928</v>
      </c>
      <c r="I12" s="68">
        <f t="shared" si="13"/>
        <v>1000</v>
      </c>
      <c r="J12" s="24">
        <f t="shared" si="14"/>
        <v>692.16554183470066</v>
      </c>
      <c r="L12" s="102">
        <f t="shared" si="2"/>
        <v>1277607.9403336048</v>
      </c>
      <c r="M12" s="43">
        <f t="shared" si="3"/>
        <v>352961.28144027735</v>
      </c>
      <c r="N12" s="43">
        <f t="shared" si="4"/>
        <v>211034.04247647946</v>
      </c>
      <c r="O12" s="103">
        <f t="shared" si="5"/>
        <v>0</v>
      </c>
      <c r="P12" s="104">
        <f t="shared" si="15"/>
        <v>1841603.2642503616</v>
      </c>
      <c r="Q12" s="43">
        <f t="shared" si="6"/>
        <v>3751710.2781295362</v>
      </c>
      <c r="R12" s="103">
        <f t="shared" si="16"/>
        <v>5593313.542379898</v>
      </c>
      <c r="T12" s="23">
        <f t="shared" si="7"/>
        <v>388.85944519565061</v>
      </c>
      <c r="U12" s="8">
        <f t="shared" si="8"/>
        <v>86.325356466619667</v>
      </c>
      <c r="V12" s="8">
        <f t="shared" si="9"/>
        <v>35.943254477356547</v>
      </c>
      <c r="W12" s="24">
        <f t="shared" si="10"/>
        <v>0</v>
      </c>
      <c r="X12" s="88">
        <f t="shared" si="17"/>
        <v>511.12805613962684</v>
      </c>
      <c r="Z12" s="23">
        <f t="shared" si="11"/>
        <v>1</v>
      </c>
      <c r="AA12" s="24">
        <f t="shared" si="12"/>
        <v>0.81350064430775282</v>
      </c>
    </row>
    <row r="13" spans="1:27">
      <c r="A13" s="23">
        <v>8</v>
      </c>
      <c r="B13" s="8">
        <f t="shared" si="0"/>
        <v>54</v>
      </c>
      <c r="C13" s="79">
        <f>_xlfn.XLOOKUP(B13,qx_bg[Age],qx_bg[qx weighted])</f>
        <v>4.6731999999999997E-3</v>
      </c>
      <c r="D13" s="82" t="b">
        <f t="shared" si="1"/>
        <v>1</v>
      </c>
      <c r="E13" s="23" cm="1">
        <f t="array" ref="E13:H13">MMULT(E12:H12,'4_Transitions'!$B$13:$E$16)</f>
        <v>457.58899370707547</v>
      </c>
      <c r="F13" s="8">
        <v>120.95461847351312</v>
      </c>
      <c r="G13" s="8">
        <v>64.348432758929789</v>
      </c>
      <c r="H13" s="24">
        <v>357.10795506048163</v>
      </c>
      <c r="I13" s="68">
        <f t="shared" si="13"/>
        <v>1000</v>
      </c>
      <c r="J13" s="24">
        <f t="shared" si="14"/>
        <v>642.89204493951843</v>
      </c>
      <c r="L13" s="102">
        <f t="shared" si="2"/>
        <v>1142599.7172865674</v>
      </c>
      <c r="M13" s="43">
        <f t="shared" si="3"/>
        <v>351131.2574286086</v>
      </c>
      <c r="N13" s="43">
        <f t="shared" si="4"/>
        <v>230463.91192610704</v>
      </c>
      <c r="O13" s="103">
        <f t="shared" si="5"/>
        <v>0</v>
      </c>
      <c r="P13" s="104">
        <f t="shared" si="15"/>
        <v>1724194.8866412831</v>
      </c>
      <c r="Q13" s="43">
        <f t="shared" si="6"/>
        <v>3484635.6065834248</v>
      </c>
      <c r="R13" s="103">
        <f t="shared" si="16"/>
        <v>5208830.4932247084</v>
      </c>
      <c r="T13" s="23">
        <f t="shared" si="7"/>
        <v>347.76763521737735</v>
      </c>
      <c r="U13" s="8">
        <f t="shared" si="8"/>
        <v>85.877779116194318</v>
      </c>
      <c r="V13" s="8">
        <f t="shared" si="9"/>
        <v>39.252543982947174</v>
      </c>
      <c r="W13" s="24">
        <f t="shared" si="10"/>
        <v>0</v>
      </c>
      <c r="X13" s="88">
        <f t="shared" si="17"/>
        <v>472.89795831651884</v>
      </c>
      <c r="Z13" s="23">
        <f t="shared" si="11"/>
        <v>1</v>
      </c>
      <c r="AA13" s="24">
        <f t="shared" si="12"/>
        <v>0.78599096068381913</v>
      </c>
    </row>
    <row r="14" spans="1:27">
      <c r="A14" s="23">
        <v>9</v>
      </c>
      <c r="B14" s="8">
        <f t="shared" si="0"/>
        <v>55</v>
      </c>
      <c r="C14" s="79">
        <f>_xlfn.XLOOKUP(B14,qx_bg[Age],qx_bg[qx weighted])</f>
        <v>5.0471399999999994E-3</v>
      </c>
      <c r="D14" s="82" t="b">
        <f t="shared" si="1"/>
        <v>1</v>
      </c>
      <c r="E14" s="23" cm="1">
        <f t="array" ref="E14:H14">MMULT(E13:H13,'4_Transitions'!$B$13:$E$16)</f>
        <v>409.23434986372018</v>
      </c>
      <c r="F14" s="8">
        <v>117.98289177858058</v>
      </c>
      <c r="G14" s="8">
        <v>68.091820305497663</v>
      </c>
      <c r="H14" s="24">
        <v>404.6909380522016</v>
      </c>
      <c r="I14" s="68">
        <f t="shared" si="13"/>
        <v>1000</v>
      </c>
      <c r="J14" s="24">
        <f t="shared" si="14"/>
        <v>595.30906194779845</v>
      </c>
      <c r="L14" s="102">
        <f t="shared" si="2"/>
        <v>1021858.1716097093</v>
      </c>
      <c r="M14" s="43">
        <f t="shared" si="3"/>
        <v>342504.33483321941</v>
      </c>
      <c r="N14" s="43">
        <f t="shared" si="4"/>
        <v>243870.85442413989</v>
      </c>
      <c r="O14" s="103">
        <f t="shared" si="5"/>
        <v>0</v>
      </c>
      <c r="P14" s="104">
        <f t="shared" si="15"/>
        <v>1608233.3608670686</v>
      </c>
      <c r="Q14" s="43">
        <f t="shared" si="6"/>
        <v>3226723.9430225547</v>
      </c>
      <c r="R14" s="103">
        <f t="shared" si="16"/>
        <v>4834957.3038896229</v>
      </c>
      <c r="T14" s="23">
        <f t="shared" si="7"/>
        <v>311.01810589642736</v>
      </c>
      <c r="U14" s="8">
        <f t="shared" si="8"/>
        <v>83.767853162792207</v>
      </c>
      <c r="V14" s="8">
        <f t="shared" si="9"/>
        <v>41.536010386353574</v>
      </c>
      <c r="W14" s="24">
        <f t="shared" si="10"/>
        <v>0</v>
      </c>
      <c r="X14" s="88">
        <f t="shared" si="17"/>
        <v>436.32196944557313</v>
      </c>
      <c r="Z14" s="23">
        <f t="shared" si="11"/>
        <v>1</v>
      </c>
      <c r="AA14" s="24">
        <f t="shared" si="12"/>
        <v>0.75941155621625056</v>
      </c>
    </row>
    <row r="15" spans="1:27">
      <c r="A15" s="23">
        <v>10</v>
      </c>
      <c r="B15" s="8">
        <f t="shared" si="0"/>
        <v>56</v>
      </c>
      <c r="C15" s="79">
        <f>_xlfn.XLOOKUP(B15,qx_bg[Age],qx_bg[qx weighted])</f>
        <v>5.4556600000000002E-3</v>
      </c>
      <c r="D15" s="82" t="b">
        <f t="shared" si="1"/>
        <v>1</v>
      </c>
      <c r="E15" s="23" cm="1">
        <f t="array" ref="E15:H15">MMULT(E14:H14,'4_Transitions'!$B$13:$E$16)</f>
        <v>365.98946961471069</v>
      </c>
      <c r="F15" s="8">
        <v>113.39181566821742</v>
      </c>
      <c r="G15" s="8">
        <v>70.31014907195717</v>
      </c>
      <c r="H15" s="24">
        <v>450.30856564511475</v>
      </c>
      <c r="I15" s="68">
        <f t="shared" si="13"/>
        <v>1000</v>
      </c>
      <c r="J15" s="24">
        <f t="shared" si="14"/>
        <v>549.69143435488525</v>
      </c>
      <c r="L15" s="102">
        <f t="shared" si="2"/>
        <v>913875.70562793256</v>
      </c>
      <c r="M15" s="43">
        <f t="shared" si="3"/>
        <v>329176.44088483514</v>
      </c>
      <c r="N15" s="43">
        <f t="shared" si="4"/>
        <v>251815.79890121461</v>
      </c>
      <c r="O15" s="103">
        <f t="shared" si="5"/>
        <v>0</v>
      </c>
      <c r="P15" s="104">
        <f t="shared" si="15"/>
        <v>1494867.9454139825</v>
      </c>
      <c r="Q15" s="43">
        <f t="shared" si="6"/>
        <v>2979464.9970620666</v>
      </c>
      <c r="R15" s="103">
        <f t="shared" si="16"/>
        <v>4474332.9424760491</v>
      </c>
      <c r="T15" s="23">
        <f t="shared" si="7"/>
        <v>278.15199690718015</v>
      </c>
      <c r="U15" s="8">
        <f t="shared" si="8"/>
        <v>80.508189124434367</v>
      </c>
      <c r="V15" s="8">
        <f t="shared" si="9"/>
        <v>42.889190933893872</v>
      </c>
      <c r="W15" s="24">
        <f t="shared" si="10"/>
        <v>0</v>
      </c>
      <c r="X15" s="88">
        <f t="shared" si="17"/>
        <v>401.54937696550837</v>
      </c>
      <c r="Z15" s="23">
        <f t="shared" si="11"/>
        <v>1</v>
      </c>
      <c r="AA15" s="24">
        <f t="shared" si="12"/>
        <v>0.73373097218961414</v>
      </c>
    </row>
    <row r="16" spans="1:27">
      <c r="A16" s="23">
        <v>11</v>
      </c>
      <c r="B16" s="8">
        <f t="shared" si="0"/>
        <v>57</v>
      </c>
      <c r="C16" s="79">
        <f>_xlfn.XLOOKUP(B16,qx_bg[Age],qx_bg[qx weighted])</f>
        <v>5.9469600000000003E-3</v>
      </c>
      <c r="D16" s="82" t="b">
        <f t="shared" si="1"/>
        <v>1</v>
      </c>
      <c r="E16" s="23" cm="1">
        <f t="array" ref="E16:H16">MMULT(E15:H15,'4_Transitions'!$B$13:$E$16)</f>
        <v>327.31439067483848</v>
      </c>
      <c r="F16" s="8">
        <v>107.73355154886197</v>
      </c>
      <c r="G16" s="8">
        <v>71.195942739305536</v>
      </c>
      <c r="H16" s="24">
        <v>493.75611503699406</v>
      </c>
      <c r="I16" s="68">
        <f t="shared" si="13"/>
        <v>1000</v>
      </c>
      <c r="J16" s="24">
        <f t="shared" si="14"/>
        <v>506.24388496300594</v>
      </c>
      <c r="L16" s="102">
        <f t="shared" si="2"/>
        <v>817304.03351507173</v>
      </c>
      <c r="M16" s="43">
        <f t="shared" si="3"/>
        <v>312750.50014634628</v>
      </c>
      <c r="N16" s="43">
        <f t="shared" si="4"/>
        <v>254988.26892082277</v>
      </c>
      <c r="O16" s="103">
        <f t="shared" si="5"/>
        <v>0</v>
      </c>
      <c r="P16" s="104">
        <f t="shared" si="15"/>
        <v>1385042.8025822409</v>
      </c>
      <c r="Q16" s="43">
        <f t="shared" si="6"/>
        <v>2743968.4174707332</v>
      </c>
      <c r="R16" s="103">
        <f t="shared" si="16"/>
        <v>4129011.2200529743</v>
      </c>
      <c r="T16" s="23">
        <f t="shared" si="7"/>
        <v>248.75893691287726</v>
      </c>
      <c r="U16" s="8">
        <f t="shared" si="8"/>
        <v>76.490821599691998</v>
      </c>
      <c r="V16" s="8">
        <f t="shared" si="9"/>
        <v>43.429525070976375</v>
      </c>
      <c r="W16" s="24">
        <f t="shared" si="10"/>
        <v>0</v>
      </c>
      <c r="X16" s="88">
        <f t="shared" si="17"/>
        <v>368.67928358354561</v>
      </c>
      <c r="Z16" s="23">
        <f t="shared" si="11"/>
        <v>1</v>
      </c>
      <c r="AA16" s="24">
        <f t="shared" si="12"/>
        <v>0.70891881370977217</v>
      </c>
    </row>
    <row r="17" spans="1:27">
      <c r="A17" s="23">
        <v>12</v>
      </c>
      <c r="B17" s="8">
        <f t="shared" si="0"/>
        <v>58</v>
      </c>
      <c r="C17" s="79">
        <f>_xlfn.XLOOKUP(B17,qx_bg[Age],qx_bg[qx weighted])</f>
        <v>6.3892000000000003E-3</v>
      </c>
      <c r="D17" s="82" t="b">
        <f t="shared" si="1"/>
        <v>1</v>
      </c>
      <c r="E17" s="23" cm="1">
        <f t="array" ref="E17:H17">MMULT(E16:H16,'4_Transitions'!$B$13:$E$16)</f>
        <v>292.72621000714872</v>
      </c>
      <c r="F17" s="8">
        <v>101.42681504353172</v>
      </c>
      <c r="G17" s="8">
        <v>70.953758983691174</v>
      </c>
      <c r="H17" s="24">
        <v>534.89321596562843</v>
      </c>
      <c r="I17" s="68">
        <f t="shared" si="13"/>
        <v>1000</v>
      </c>
      <c r="J17" s="24">
        <f t="shared" si="14"/>
        <v>465.10678403437157</v>
      </c>
      <c r="L17" s="102">
        <f t="shared" si="2"/>
        <v>730937.34638785035</v>
      </c>
      <c r="M17" s="43">
        <f t="shared" si="3"/>
        <v>294442.0440713726</v>
      </c>
      <c r="N17" s="43">
        <f t="shared" si="4"/>
        <v>254120.88780008993</v>
      </c>
      <c r="O17" s="103">
        <f t="shared" si="5"/>
        <v>0</v>
      </c>
      <c r="P17" s="104">
        <f t="shared" si="15"/>
        <v>1279500.278259313</v>
      </c>
      <c r="Q17" s="43">
        <f t="shared" si="6"/>
        <v>2520995.0461623026</v>
      </c>
      <c r="R17" s="103">
        <f t="shared" si="16"/>
        <v>3800495.3244216153</v>
      </c>
      <c r="T17" s="23">
        <f t="shared" si="7"/>
        <v>222.47191960543304</v>
      </c>
      <c r="U17" s="8">
        <f t="shared" si="8"/>
        <v>72.013038680907513</v>
      </c>
      <c r="V17" s="8">
        <f t="shared" si="9"/>
        <v>43.281792980051613</v>
      </c>
      <c r="W17" s="24">
        <f t="shared" si="10"/>
        <v>0</v>
      </c>
      <c r="X17" s="88">
        <f t="shared" si="17"/>
        <v>337.76675126639213</v>
      </c>
      <c r="Z17" s="23">
        <f t="shared" si="11"/>
        <v>1</v>
      </c>
      <c r="AA17" s="24">
        <f t="shared" si="12"/>
        <v>0.68494571372924851</v>
      </c>
    </row>
    <row r="18" spans="1:27">
      <c r="A18" s="23">
        <v>13</v>
      </c>
      <c r="B18" s="8">
        <f t="shared" si="0"/>
        <v>59</v>
      </c>
      <c r="C18" s="79">
        <f>_xlfn.XLOOKUP(B18,qx_bg[Age],qx_bg[qx weighted])</f>
        <v>6.8706000000000001E-3</v>
      </c>
      <c r="D18" s="82" t="b">
        <f t="shared" si="1"/>
        <v>1</v>
      </c>
      <c r="E18" s="23" cm="1">
        <f t="array" ref="E18:H18">MMULT(E17:H17,'4_Transitions'!$B$13:$E$16)</f>
        <v>261.79305422068768</v>
      </c>
      <c r="F18" s="8">
        <v>94.785778149944278</v>
      </c>
      <c r="G18" s="8">
        <v>69.784761349502858</v>
      </c>
      <c r="H18" s="24">
        <v>573.63640627986524</v>
      </c>
      <c r="I18" s="68">
        <f t="shared" si="13"/>
        <v>1000</v>
      </c>
      <c r="J18" s="24">
        <f t="shared" si="14"/>
        <v>426.36359372013482</v>
      </c>
      <c r="L18" s="102">
        <f t="shared" si="2"/>
        <v>653697.25638905715</v>
      </c>
      <c r="M18" s="43">
        <f t="shared" si="3"/>
        <v>275163.11396928824</v>
      </c>
      <c r="N18" s="43">
        <f t="shared" si="4"/>
        <v>249934.12277324448</v>
      </c>
      <c r="O18" s="103">
        <f t="shared" si="5"/>
        <v>0</v>
      </c>
      <c r="P18" s="104">
        <f t="shared" si="15"/>
        <v>1178794.4931315898</v>
      </c>
      <c r="Q18" s="43">
        <f t="shared" si="6"/>
        <v>2310997.2688615606</v>
      </c>
      <c r="R18" s="103">
        <f t="shared" si="16"/>
        <v>3489791.7619931502</v>
      </c>
      <c r="T18" s="23">
        <f t="shared" si="7"/>
        <v>198.96272120772264</v>
      </c>
      <c r="U18" s="8">
        <f t="shared" si="8"/>
        <v>67.29790248646043</v>
      </c>
      <c r="V18" s="8">
        <f t="shared" si="9"/>
        <v>42.568704423196742</v>
      </c>
      <c r="W18" s="24">
        <f t="shared" si="10"/>
        <v>0</v>
      </c>
      <c r="X18" s="88">
        <f t="shared" si="17"/>
        <v>308.82932811737982</v>
      </c>
      <c r="Z18" s="23">
        <f t="shared" si="11"/>
        <v>1</v>
      </c>
      <c r="AA18" s="24">
        <f t="shared" si="12"/>
        <v>0.66178329828912896</v>
      </c>
    </row>
    <row r="19" spans="1:27">
      <c r="A19" s="23">
        <v>14</v>
      </c>
      <c r="B19" s="8">
        <f t="shared" si="0"/>
        <v>60</v>
      </c>
      <c r="C19" s="79">
        <f>_xlfn.XLOOKUP(B19,qx_bg[Age],qx_bg[qx weighted])</f>
        <v>7.3771199999999992E-3</v>
      </c>
      <c r="D19" s="82" t="b">
        <f t="shared" si="1"/>
        <v>1</v>
      </c>
      <c r="E19" s="23" cm="1">
        <f t="array" ref="E19:H19">MMULT(E18:H18,'4_Transitions'!$B$13:$E$16)</f>
        <v>234.1286871323282</v>
      </c>
      <c r="F19" s="8">
        <v>88.043000254517054</v>
      </c>
      <c r="G19" s="8">
        <v>67.877279227514862</v>
      </c>
      <c r="H19" s="24">
        <v>609.9510333856399</v>
      </c>
      <c r="I19" s="68">
        <f t="shared" si="13"/>
        <v>1000</v>
      </c>
      <c r="J19" s="24">
        <f t="shared" si="14"/>
        <v>390.0489666143601</v>
      </c>
      <c r="L19" s="102">
        <f t="shared" si="2"/>
        <v>584619.33176942356</v>
      </c>
      <c r="M19" s="43">
        <f t="shared" si="3"/>
        <v>255588.82973886302</v>
      </c>
      <c r="N19" s="43">
        <f t="shared" si="4"/>
        <v>243102.47555334447</v>
      </c>
      <c r="O19" s="103">
        <f t="shared" si="5"/>
        <v>0</v>
      </c>
      <c r="P19" s="104">
        <f t="shared" si="15"/>
        <v>1083310.6370616311</v>
      </c>
      <c r="Q19" s="43">
        <f t="shared" si="6"/>
        <v>2114162.9112914852</v>
      </c>
      <c r="R19" s="103">
        <f t="shared" si="16"/>
        <v>3197473.548353116</v>
      </c>
      <c r="T19" s="23">
        <f t="shared" si="7"/>
        <v>177.93780222056944</v>
      </c>
      <c r="U19" s="8">
        <f t="shared" si="8"/>
        <v>62.510530180707107</v>
      </c>
      <c r="V19" s="8">
        <f t="shared" si="9"/>
        <v>41.405140328784064</v>
      </c>
      <c r="W19" s="24">
        <f t="shared" si="10"/>
        <v>0</v>
      </c>
      <c r="X19" s="88">
        <f t="shared" si="17"/>
        <v>281.85347273006062</v>
      </c>
      <c r="Z19" s="23">
        <f t="shared" si="11"/>
        <v>1</v>
      </c>
      <c r="AA19" s="24">
        <f t="shared" si="12"/>
        <v>0.63940415293635666</v>
      </c>
    </row>
    <row r="20" spans="1:27">
      <c r="A20" s="23">
        <v>15</v>
      </c>
      <c r="B20" s="8">
        <f t="shared" si="0"/>
        <v>61</v>
      </c>
      <c r="C20" s="79">
        <f>_xlfn.XLOOKUP(B20,qx_bg[Age],qx_bg[qx weighted])</f>
        <v>8.1189199999999982E-3</v>
      </c>
      <c r="D20" s="82" t="b">
        <f t="shared" si="1"/>
        <v>1</v>
      </c>
      <c r="E20" s="23" cm="1">
        <f t="array" ref="E20:H20">MMULT(E19:H19,'4_Transitions'!$B$13:$E$16)</f>
        <v>209.38768716185396</v>
      </c>
      <c r="F20" s="8">
        <v>81.367593881667361</v>
      </c>
      <c r="G20" s="8">
        <v>65.401548193438757</v>
      </c>
      <c r="H20" s="24">
        <v>643.84317076303989</v>
      </c>
      <c r="I20" s="68">
        <f t="shared" si="13"/>
        <v>1000</v>
      </c>
      <c r="J20" s="24">
        <f t="shared" si="14"/>
        <v>356.15682923696011</v>
      </c>
      <c r="L20" s="102">
        <f t="shared" si="2"/>
        <v>522841.05484314932</v>
      </c>
      <c r="M20" s="43">
        <f t="shared" si="3"/>
        <v>236210.12503848036</v>
      </c>
      <c r="N20" s="43">
        <f t="shared" si="4"/>
        <v>234235.64485480092</v>
      </c>
      <c r="O20" s="103">
        <f t="shared" si="5"/>
        <v>0</v>
      </c>
      <c r="P20" s="104">
        <f t="shared" si="15"/>
        <v>993286.82473643054</v>
      </c>
      <c r="Q20" s="43">
        <f t="shared" si="6"/>
        <v>1930459.0536716331</v>
      </c>
      <c r="R20" s="103">
        <f t="shared" si="16"/>
        <v>2923745.8784080637</v>
      </c>
      <c r="T20" s="23">
        <f t="shared" si="7"/>
        <v>159.13464224300901</v>
      </c>
      <c r="U20" s="8">
        <f t="shared" si="8"/>
        <v>57.770991655983821</v>
      </c>
      <c r="V20" s="8">
        <f t="shared" si="9"/>
        <v>39.894944397997641</v>
      </c>
      <c r="W20" s="24">
        <f t="shared" si="10"/>
        <v>0</v>
      </c>
      <c r="X20" s="88">
        <f t="shared" si="17"/>
        <v>256.80057829699047</v>
      </c>
      <c r="Z20" s="23">
        <f t="shared" si="11"/>
        <v>1</v>
      </c>
      <c r="AA20" s="24">
        <f t="shared" si="12"/>
        <v>0.61778179027667302</v>
      </c>
    </row>
    <row r="21" spans="1:27">
      <c r="A21" s="23">
        <v>16</v>
      </c>
      <c r="B21" s="8">
        <f t="shared" si="0"/>
        <v>62</v>
      </c>
      <c r="C21" s="79">
        <f>_xlfn.XLOOKUP(B21,qx_bg[Age],qx_bg[qx weighted])</f>
        <v>8.8407799999999995E-3</v>
      </c>
      <c r="D21" s="82" t="b">
        <f t="shared" si="1"/>
        <v>1</v>
      </c>
      <c r="E21" s="23" cm="1">
        <f t="array" ref="E21:H21">MMULT(E20:H20,'4_Transitions'!$B$13:$E$16)</f>
        <v>187.26113434450897</v>
      </c>
      <c r="F21" s="8">
        <v>74.879590326516876</v>
      </c>
      <c r="G21" s="8">
        <v>62.50730929934236</v>
      </c>
      <c r="H21" s="24">
        <v>675.35196602963174</v>
      </c>
      <c r="I21" s="68">
        <f t="shared" si="13"/>
        <v>1000</v>
      </c>
      <c r="J21" s="24">
        <f t="shared" si="14"/>
        <v>324.6480339703682</v>
      </c>
      <c r="L21" s="102">
        <f t="shared" si="2"/>
        <v>467591.0524582389</v>
      </c>
      <c r="M21" s="43">
        <f t="shared" si="3"/>
        <v>217375.4507178785</v>
      </c>
      <c r="N21" s="43">
        <f t="shared" si="4"/>
        <v>223869.92825559466</v>
      </c>
      <c r="O21" s="103">
        <f t="shared" si="5"/>
        <v>0</v>
      </c>
      <c r="P21" s="104">
        <f t="shared" si="15"/>
        <v>908836.43143171212</v>
      </c>
      <c r="Q21" s="43">
        <f t="shared" si="6"/>
        <v>1759673.5061278883</v>
      </c>
      <c r="R21" s="103">
        <f t="shared" si="16"/>
        <v>2668509.9375596005</v>
      </c>
      <c r="T21" s="23">
        <f t="shared" si="7"/>
        <v>142.31846210182681</v>
      </c>
      <c r="U21" s="8">
        <f t="shared" si="8"/>
        <v>53.164509131826982</v>
      </c>
      <c r="V21" s="8">
        <f t="shared" si="9"/>
        <v>38.129458672598837</v>
      </c>
      <c r="W21" s="24">
        <f t="shared" si="10"/>
        <v>0</v>
      </c>
      <c r="X21" s="88">
        <f t="shared" si="17"/>
        <v>233.61242990625263</v>
      </c>
      <c r="Z21" s="23">
        <f t="shared" si="11"/>
        <v>1</v>
      </c>
      <c r="AA21" s="24">
        <f t="shared" si="12"/>
        <v>0.59689061862480497</v>
      </c>
    </row>
    <row r="22" spans="1:27">
      <c r="A22" s="23">
        <v>17</v>
      </c>
      <c r="B22" s="8">
        <f t="shared" si="0"/>
        <v>63</v>
      </c>
      <c r="C22" s="79">
        <f>_xlfn.XLOOKUP(B22,qx_bg[Age],qx_bg[qx weighted])</f>
        <v>9.5674999999999996E-3</v>
      </c>
      <c r="D22" s="82" t="b">
        <f t="shared" si="1"/>
        <v>1</v>
      </c>
      <c r="E22" s="23" cm="1">
        <f t="array" ref="E22:H22">MMULT(E21:H21,'4_Transitions'!$B$13:$E$16)</f>
        <v>167.47275310838174</v>
      </c>
      <c r="F22" s="8">
        <v>68.661277356813216</v>
      </c>
      <c r="G22" s="8">
        <v>59.323309801988358</v>
      </c>
      <c r="H22" s="24">
        <v>704.54265973281667</v>
      </c>
      <c r="I22" s="68">
        <f t="shared" si="13"/>
        <v>1000</v>
      </c>
      <c r="J22" s="24">
        <f t="shared" si="14"/>
        <v>295.45734026718333</v>
      </c>
      <c r="L22" s="102">
        <f t="shared" si="2"/>
        <v>418179.46451162919</v>
      </c>
      <c r="M22" s="43">
        <f t="shared" si="3"/>
        <v>199323.68816682877</v>
      </c>
      <c r="N22" s="43">
        <f t="shared" si="4"/>
        <v>212466.4340558213</v>
      </c>
      <c r="O22" s="103">
        <f t="shared" si="5"/>
        <v>0</v>
      </c>
      <c r="P22" s="104">
        <f t="shared" si="15"/>
        <v>829969.58673427929</v>
      </c>
      <c r="Q22" s="43">
        <f t="shared" si="6"/>
        <v>1601452.6485832005</v>
      </c>
      <c r="R22" s="103">
        <f t="shared" si="16"/>
        <v>2431422.2353174798</v>
      </c>
      <c r="T22" s="23">
        <f t="shared" si="7"/>
        <v>127.27929236237013</v>
      </c>
      <c r="U22" s="8">
        <f t="shared" si="8"/>
        <v>48.749506923337378</v>
      </c>
      <c r="V22" s="8">
        <f t="shared" si="9"/>
        <v>36.187218979212901</v>
      </c>
      <c r="W22" s="24">
        <f t="shared" si="10"/>
        <v>0</v>
      </c>
      <c r="X22" s="88">
        <f t="shared" si="17"/>
        <v>212.21601826492042</v>
      </c>
      <c r="Z22" s="23">
        <f t="shared" si="11"/>
        <v>1</v>
      </c>
      <c r="AA22" s="24">
        <f t="shared" si="12"/>
        <v>0.57670591171478747</v>
      </c>
    </row>
    <row r="23" spans="1:27">
      <c r="A23" s="23">
        <v>18</v>
      </c>
      <c r="B23" s="8">
        <f t="shared" si="0"/>
        <v>64</v>
      </c>
      <c r="C23" s="79">
        <f>_xlfn.XLOOKUP(B23,qx_bg[Age],qx_bg[qx weighted])</f>
        <v>1.0632999999999998E-2</v>
      </c>
      <c r="D23" s="82" t="b">
        <f t="shared" si="1"/>
        <v>1</v>
      </c>
      <c r="E23" s="23" cm="1">
        <f t="array" ref="E23:H23">MMULT(E22:H22,'4_Transitions'!$B$13:$E$16)</f>
        <v>149.7754626547439</v>
      </c>
      <c r="F23" s="8">
        <v>62.766126527763632</v>
      </c>
      <c r="G23" s="8">
        <v>55.958018792304102</v>
      </c>
      <c r="H23" s="24">
        <v>731.50039202518838</v>
      </c>
      <c r="I23" s="68">
        <f t="shared" si="13"/>
        <v>1000</v>
      </c>
      <c r="J23" s="24">
        <f t="shared" si="14"/>
        <v>268.49960797481162</v>
      </c>
      <c r="L23" s="102">
        <f t="shared" si="2"/>
        <v>373989.33024889551</v>
      </c>
      <c r="M23" s="43">
        <f t="shared" si="3"/>
        <v>182210.06531009782</v>
      </c>
      <c r="N23" s="43">
        <f t="shared" si="4"/>
        <v>200413.64430463716</v>
      </c>
      <c r="O23" s="103">
        <f t="shared" si="5"/>
        <v>0</v>
      </c>
      <c r="P23" s="104">
        <f t="shared" si="15"/>
        <v>756613.03986363043</v>
      </c>
      <c r="Q23" s="43">
        <f t="shared" si="6"/>
        <v>1455335.0001254727</v>
      </c>
      <c r="R23" s="103">
        <f t="shared" si="16"/>
        <v>2211948.0399891031</v>
      </c>
      <c r="T23" s="23">
        <f t="shared" si="7"/>
        <v>113.82935161760537</v>
      </c>
      <c r="U23" s="8">
        <f t="shared" si="8"/>
        <v>44.563949834712176</v>
      </c>
      <c r="V23" s="8">
        <f t="shared" si="9"/>
        <v>34.134391463305505</v>
      </c>
      <c r="W23" s="24">
        <f t="shared" si="10"/>
        <v>0</v>
      </c>
      <c r="X23" s="88">
        <f t="shared" si="17"/>
        <v>192.52769291562305</v>
      </c>
      <c r="Z23" s="23">
        <f t="shared" si="11"/>
        <v>1</v>
      </c>
      <c r="AA23" s="24">
        <f t="shared" si="12"/>
        <v>0.55720377943457733</v>
      </c>
    </row>
    <row r="24" spans="1:27">
      <c r="A24" s="23">
        <v>19</v>
      </c>
      <c r="B24" s="8">
        <f t="shared" si="0"/>
        <v>65</v>
      </c>
      <c r="C24" s="79">
        <f>_xlfn.XLOOKUP(B24,qx_bg[Age],qx_bg[qx weighted])</f>
        <v>1.141138E-2</v>
      </c>
      <c r="D24" s="82" t="b">
        <f t="shared" si="1"/>
        <v>1</v>
      </c>
      <c r="E24" s="23" cm="1">
        <f t="array" ref="E24:H24">MMULT(E23:H23,'4_Transitions'!$B$13:$E$16)</f>
        <v>133.94829186885724</v>
      </c>
      <c r="F24" s="8">
        <v>57.225803748530907</v>
      </c>
      <c r="G24" s="8">
        <v>52.501071878916299</v>
      </c>
      <c r="H24" s="24">
        <v>756.32483250369557</v>
      </c>
      <c r="I24" s="68">
        <f t="shared" si="13"/>
        <v>1000</v>
      </c>
      <c r="J24" s="24">
        <f t="shared" si="14"/>
        <v>243.67516749630445</v>
      </c>
      <c r="L24" s="102">
        <f t="shared" si="2"/>
        <v>334468.88479653653</v>
      </c>
      <c r="M24" s="43">
        <f t="shared" si="3"/>
        <v>166126.50828198521</v>
      </c>
      <c r="N24" s="43">
        <f t="shared" si="4"/>
        <v>188032.58893433874</v>
      </c>
      <c r="O24" s="103">
        <f t="shared" si="5"/>
        <v>0</v>
      </c>
      <c r="P24" s="104">
        <f t="shared" si="15"/>
        <v>688627.98201286048</v>
      </c>
      <c r="Q24" s="43">
        <f t="shared" si="6"/>
        <v>1320780.3266218442</v>
      </c>
      <c r="R24" s="103">
        <f t="shared" si="16"/>
        <v>2009408.3086347047</v>
      </c>
      <c r="T24" s="23">
        <f t="shared" si="7"/>
        <v>101.8007018203315</v>
      </c>
      <c r="U24" s="8">
        <f t="shared" si="8"/>
        <v>40.630320661456942</v>
      </c>
      <c r="V24" s="8">
        <f t="shared" si="9"/>
        <v>32.025653846138944</v>
      </c>
      <c r="W24" s="24">
        <f t="shared" si="10"/>
        <v>0</v>
      </c>
      <c r="X24" s="88">
        <f t="shared" si="17"/>
        <v>174.45667632792737</v>
      </c>
      <c r="Z24" s="23">
        <f t="shared" si="11"/>
        <v>1</v>
      </c>
      <c r="AA24" s="24">
        <f t="shared" si="12"/>
        <v>0.53836113955031628</v>
      </c>
    </row>
    <row r="25" spans="1:27">
      <c r="A25" s="23">
        <v>20</v>
      </c>
      <c r="B25" s="8">
        <f t="shared" si="0"/>
        <v>66</v>
      </c>
      <c r="C25" s="79">
        <f>_xlfn.XLOOKUP(B25,qx_bg[Age],qx_bg[qx weighted])</f>
        <v>1.2780720000000001E-2</v>
      </c>
      <c r="D25" s="82" t="b">
        <f t="shared" si="1"/>
        <v>1</v>
      </c>
      <c r="E25" s="23" cm="1">
        <f t="array" ref="E25:H25">MMULT(E24:H24,'4_Transitions'!$B$13:$E$16)</f>
        <v>119.79362024034634</v>
      </c>
      <c r="F25" s="8">
        <v>52.055657486106526</v>
      </c>
      <c r="G25" s="8">
        <v>49.025106765436178</v>
      </c>
      <c r="H25" s="24">
        <v>779.12561550811097</v>
      </c>
      <c r="I25" s="68">
        <f t="shared" si="13"/>
        <v>1000</v>
      </c>
      <c r="J25" s="24">
        <f t="shared" si="14"/>
        <v>220.87438449188903</v>
      </c>
      <c r="L25" s="102">
        <f t="shared" si="2"/>
        <v>299124.6697401448</v>
      </c>
      <c r="M25" s="43">
        <f t="shared" si="3"/>
        <v>151117.57368216725</v>
      </c>
      <c r="N25" s="43">
        <f t="shared" si="4"/>
        <v>175583.41988040967</v>
      </c>
      <c r="O25" s="103">
        <f t="shared" si="5"/>
        <v>0</v>
      </c>
      <c r="P25" s="104">
        <f t="shared" si="15"/>
        <v>625825.66330272169</v>
      </c>
      <c r="Q25" s="43">
        <f t="shared" si="6"/>
        <v>1197194.3825421615</v>
      </c>
      <c r="R25" s="103">
        <f t="shared" si="16"/>
        <v>1823020.0458448832</v>
      </c>
      <c r="T25" s="23">
        <f t="shared" si="7"/>
        <v>91.043151382663225</v>
      </c>
      <c r="U25" s="8">
        <f t="shared" si="8"/>
        <v>36.959516815135629</v>
      </c>
      <c r="V25" s="8">
        <f t="shared" si="9"/>
        <v>29.905315126916069</v>
      </c>
      <c r="W25" s="24">
        <f t="shared" si="10"/>
        <v>0</v>
      </c>
      <c r="X25" s="88">
        <f t="shared" si="17"/>
        <v>157.90798332471493</v>
      </c>
      <c r="Z25" s="23">
        <f t="shared" si="11"/>
        <v>1</v>
      </c>
      <c r="AA25" s="24">
        <f t="shared" si="12"/>
        <v>0.52015569038677911</v>
      </c>
    </row>
    <row r="26" spans="1:27">
      <c r="A26" s="23">
        <v>21</v>
      </c>
      <c r="B26" s="8">
        <f t="shared" si="0"/>
        <v>67</v>
      </c>
      <c r="C26" s="79">
        <f>_xlfn.XLOOKUP(B26,qx_bg[Age],qx_bg[qx weighted])</f>
        <v>1.4105640000000001E-2</v>
      </c>
      <c r="D26" s="82" t="b">
        <f t="shared" si="1"/>
        <v>1</v>
      </c>
      <c r="E26" s="23" cm="1">
        <f t="array" ref="E26:H26">MMULT(E25:H25,'4_Transitions'!$B$13:$E$16)</f>
        <v>107.13471034284079</v>
      </c>
      <c r="F26" s="8">
        <v>47.258999508099905</v>
      </c>
      <c r="G26" s="8">
        <v>45.587759431780732</v>
      </c>
      <c r="H26" s="24">
        <v>800.01853071727862</v>
      </c>
      <c r="I26" s="68">
        <f t="shared" si="13"/>
        <v>1000</v>
      </c>
      <c r="J26" s="24">
        <f t="shared" si="14"/>
        <v>199.98146928272143</v>
      </c>
      <c r="L26" s="102">
        <f t="shared" si="2"/>
        <v>267515.37172607344</v>
      </c>
      <c r="M26" s="43">
        <f t="shared" si="3"/>
        <v>137192.87557201402</v>
      </c>
      <c r="N26" s="43">
        <f t="shared" si="4"/>
        <v>163272.5604049227</v>
      </c>
      <c r="O26" s="103">
        <f t="shared" si="5"/>
        <v>0</v>
      </c>
      <c r="P26" s="104">
        <f t="shared" si="15"/>
        <v>567980.80770301016</v>
      </c>
      <c r="Q26" s="43">
        <f t="shared" si="6"/>
        <v>1083949.5588796709</v>
      </c>
      <c r="R26" s="103">
        <f t="shared" si="16"/>
        <v>1651930.366582681</v>
      </c>
      <c r="T26" s="23">
        <f t="shared" si="7"/>
        <v>81.422379860559005</v>
      </c>
      <c r="U26" s="8">
        <f t="shared" si="8"/>
        <v>33.553889650750932</v>
      </c>
      <c r="V26" s="8">
        <f t="shared" si="9"/>
        <v>27.808533253386248</v>
      </c>
      <c r="W26" s="24">
        <f t="shared" si="10"/>
        <v>0</v>
      </c>
      <c r="X26" s="88">
        <f t="shared" si="17"/>
        <v>142.7848027646962</v>
      </c>
      <c r="Z26" s="23">
        <f t="shared" si="11"/>
        <v>1</v>
      </c>
      <c r="AA26" s="24">
        <f t="shared" si="12"/>
        <v>0.50256588443167061</v>
      </c>
    </row>
    <row r="27" spans="1:27">
      <c r="A27" s="23">
        <v>22</v>
      </c>
      <c r="B27" s="8">
        <f t="shared" si="0"/>
        <v>68</v>
      </c>
      <c r="C27" s="79">
        <f>_xlfn.XLOOKUP(B27,qx_bg[Age],qx_bg[qx weighted])</f>
        <v>1.5509579999999999E-2</v>
      </c>
      <c r="D27" s="82" t="b">
        <f t="shared" si="1"/>
        <v>1</v>
      </c>
      <c r="E27" s="23" cm="1">
        <f t="array" ref="E27:H27">MMULT(E26:H26,'4_Transitions'!$B$13:$E$16)</f>
        <v>95.813501063044697</v>
      </c>
      <c r="F27" s="8">
        <v>42.830429432583131</v>
      </c>
      <c r="G27" s="8">
        <v>42.233668715921283</v>
      </c>
      <c r="H27" s="24">
        <v>819.12240078845093</v>
      </c>
      <c r="I27" s="68">
        <f t="shared" si="13"/>
        <v>1000</v>
      </c>
      <c r="J27" s="24">
        <f t="shared" si="14"/>
        <v>180.87759921154912</v>
      </c>
      <c r="L27" s="102">
        <f t="shared" si="2"/>
        <v>239246.3121544226</v>
      </c>
      <c r="M27" s="43">
        <f t="shared" si="3"/>
        <v>124336.73664278883</v>
      </c>
      <c r="N27" s="43">
        <f t="shared" si="4"/>
        <v>151259.88450607206</v>
      </c>
      <c r="O27" s="103">
        <f t="shared" si="5"/>
        <v>0</v>
      </c>
      <c r="P27" s="104">
        <f t="shared" si="15"/>
        <v>514842.93330328353</v>
      </c>
      <c r="Q27" s="43">
        <f t="shared" si="6"/>
        <v>980401.80712639913</v>
      </c>
      <c r="R27" s="103">
        <f t="shared" si="16"/>
        <v>1495244.7404296827</v>
      </c>
      <c r="T27" s="23">
        <f t="shared" si="7"/>
        <v>72.818260807913973</v>
      </c>
      <c r="U27" s="8">
        <f t="shared" si="8"/>
        <v>30.40960489713402</v>
      </c>
      <c r="V27" s="8">
        <f t="shared" si="9"/>
        <v>25.762537916711981</v>
      </c>
      <c r="W27" s="24">
        <f t="shared" si="10"/>
        <v>0</v>
      </c>
      <c r="X27" s="88">
        <f t="shared" si="17"/>
        <v>128.99040362175998</v>
      </c>
      <c r="Z27" s="23">
        <f t="shared" si="11"/>
        <v>1</v>
      </c>
      <c r="AA27" s="24">
        <f t="shared" si="12"/>
        <v>0.48557090283253213</v>
      </c>
    </row>
    <row r="28" spans="1:27">
      <c r="A28" s="23">
        <v>23</v>
      </c>
      <c r="B28" s="8">
        <f t="shared" si="0"/>
        <v>69</v>
      </c>
      <c r="C28" s="79">
        <f>_xlfn.XLOOKUP(B28,qx_bg[Age],qx_bg[qx weighted])</f>
        <v>1.6764100000000001E-2</v>
      </c>
      <c r="D28" s="82" t="b">
        <f t="shared" si="1"/>
        <v>1</v>
      </c>
      <c r="E28" s="23" cm="1">
        <f t="array" ref="E28:H28">MMULT(E27:H27,'4_Transitions'!$B$13:$E$16)</f>
        <v>85.688634025149355</v>
      </c>
      <c r="F28" s="8">
        <v>38.7584034269398</v>
      </c>
      <c r="G28" s="8">
        <v>38.996393005504991</v>
      </c>
      <c r="H28" s="24">
        <v>836.5565695424059</v>
      </c>
      <c r="I28" s="68">
        <f t="shared" si="13"/>
        <v>1000</v>
      </c>
      <c r="J28" s="24">
        <f t="shared" si="14"/>
        <v>163.44343045759413</v>
      </c>
      <c r="L28" s="102">
        <f t="shared" si="2"/>
        <v>213964.51916079794</v>
      </c>
      <c r="M28" s="43">
        <f t="shared" si="3"/>
        <v>112515.64514840624</v>
      </c>
      <c r="N28" s="43">
        <f t="shared" si="4"/>
        <v>139665.58154921612</v>
      </c>
      <c r="O28" s="103">
        <f t="shared" si="5"/>
        <v>0</v>
      </c>
      <c r="P28" s="104">
        <f t="shared" si="15"/>
        <v>466145.74585842033</v>
      </c>
      <c r="Q28" s="43">
        <f t="shared" si="6"/>
        <v>885904.25393777457</v>
      </c>
      <c r="R28" s="103">
        <f t="shared" si="16"/>
        <v>1352049.999796195</v>
      </c>
      <c r="T28" s="23">
        <f t="shared" si="7"/>
        <v>65.123361859113515</v>
      </c>
      <c r="U28" s="8">
        <f t="shared" si="8"/>
        <v>27.518466433127259</v>
      </c>
      <c r="V28" s="8">
        <f t="shared" si="9"/>
        <v>23.787799733358046</v>
      </c>
      <c r="W28" s="24">
        <f t="shared" si="10"/>
        <v>0</v>
      </c>
      <c r="X28" s="88">
        <f t="shared" si="17"/>
        <v>116.42962802559882</v>
      </c>
      <c r="Z28" s="23">
        <f t="shared" si="11"/>
        <v>1</v>
      </c>
      <c r="AA28" s="24">
        <f t="shared" si="12"/>
        <v>0.46915063075606966</v>
      </c>
    </row>
    <row r="29" spans="1:27">
      <c r="A29" s="23">
        <v>24</v>
      </c>
      <c r="B29" s="8">
        <f t="shared" si="0"/>
        <v>70</v>
      </c>
      <c r="C29" s="79">
        <f>_xlfn.XLOOKUP(B29,qx_bg[Age],qx_bg[qx weighted])</f>
        <v>1.8573319999999997E-2</v>
      </c>
      <c r="D29" s="82" t="b">
        <f t="shared" si="1"/>
        <v>1</v>
      </c>
      <c r="E29" s="23" cm="1">
        <f t="array" ref="E29:H29">MMULT(E28:H28,'4_Transitions'!$B$13:$E$16)</f>
        <v>76.63368856821792</v>
      </c>
      <c r="F29" s="8">
        <v>35.02720665673921</v>
      </c>
      <c r="G29" s="8">
        <v>35.900182246645464</v>
      </c>
      <c r="H29" s="24">
        <v>852.43892252839748</v>
      </c>
      <c r="I29" s="68">
        <f t="shared" si="13"/>
        <v>1000</v>
      </c>
      <c r="J29" s="24">
        <f t="shared" si="14"/>
        <v>147.5610774716026</v>
      </c>
      <c r="L29" s="102">
        <f t="shared" si="2"/>
        <v>191354.32035484014</v>
      </c>
      <c r="M29" s="43">
        <f t="shared" si="3"/>
        <v>101683.98092451393</v>
      </c>
      <c r="N29" s="43">
        <f t="shared" si="4"/>
        <v>128576.50271636073</v>
      </c>
      <c r="O29" s="103">
        <f t="shared" si="5"/>
        <v>0</v>
      </c>
      <c r="P29" s="104">
        <f t="shared" si="15"/>
        <v>421614.80399571481</v>
      </c>
      <c r="Q29" s="43">
        <f t="shared" si="6"/>
        <v>799817.93016545405</v>
      </c>
      <c r="R29" s="103">
        <f t="shared" si="16"/>
        <v>1221432.7341611688</v>
      </c>
      <c r="T29" s="23">
        <f t="shared" si="7"/>
        <v>58.241603311845623</v>
      </c>
      <c r="U29" s="8">
        <f t="shared" si="8"/>
        <v>24.869316726284836</v>
      </c>
      <c r="V29" s="8">
        <f t="shared" si="9"/>
        <v>21.899111170453732</v>
      </c>
      <c r="W29" s="24">
        <f t="shared" si="10"/>
        <v>0</v>
      </c>
      <c r="X29" s="88">
        <f t="shared" si="17"/>
        <v>105.01003120858419</v>
      </c>
      <c r="Z29" s="23">
        <f t="shared" si="11"/>
        <v>1</v>
      </c>
      <c r="AA29" s="24">
        <f t="shared" si="12"/>
        <v>0.45328563358074364</v>
      </c>
    </row>
    <row r="30" spans="1:27">
      <c r="A30" s="23">
        <v>25</v>
      </c>
      <c r="B30" s="8">
        <f t="shared" si="0"/>
        <v>71</v>
      </c>
      <c r="C30" s="79">
        <f>_xlfn.XLOOKUP(B30,qx_bg[Age],qx_bg[qx weighted])</f>
        <v>2.0431919999999999E-2</v>
      </c>
      <c r="D30" s="82" t="b">
        <f t="shared" si="1"/>
        <v>1</v>
      </c>
      <c r="E30" s="23" cm="1">
        <f t="array" ref="E30:H30">MMULT(E29:H29,'4_Transitions'!$B$13:$E$16)</f>
        <v>68.535603238195947</v>
      </c>
      <c r="F30" s="8">
        <v>31.618456506940017</v>
      </c>
      <c r="G30" s="8">
        <v>32.961575900919776</v>
      </c>
      <c r="H30" s="24">
        <v>866.88436435394431</v>
      </c>
      <c r="I30" s="68">
        <f t="shared" si="13"/>
        <v>1000</v>
      </c>
      <c r="J30" s="24">
        <f t="shared" si="14"/>
        <v>133.11563564605575</v>
      </c>
      <c r="L30" s="102">
        <f t="shared" si="2"/>
        <v>171133.40128577527</v>
      </c>
      <c r="M30" s="43">
        <f t="shared" si="3"/>
        <v>91788.379239646863</v>
      </c>
      <c r="N30" s="43">
        <f t="shared" si="4"/>
        <v>118051.88408914418</v>
      </c>
      <c r="O30" s="103">
        <f t="shared" si="5"/>
        <v>0</v>
      </c>
      <c r="P30" s="104">
        <f t="shared" si="15"/>
        <v>380973.66461456631</v>
      </c>
      <c r="Q30" s="43">
        <f t="shared" si="6"/>
        <v>721520.02411053365</v>
      </c>
      <c r="R30" s="103">
        <f t="shared" si="16"/>
        <v>1102493.6887250999</v>
      </c>
      <c r="T30" s="23">
        <f t="shared" si="7"/>
        <v>52.087058461028917</v>
      </c>
      <c r="U30" s="8">
        <f t="shared" si="8"/>
        <v>22.449104119927412</v>
      </c>
      <c r="V30" s="8">
        <f t="shared" si="9"/>
        <v>20.106561299561061</v>
      </c>
      <c r="W30" s="24">
        <f t="shared" si="10"/>
        <v>0</v>
      </c>
      <c r="X30" s="88">
        <f t="shared" si="17"/>
        <v>94.642723880517394</v>
      </c>
      <c r="Z30" s="23">
        <f t="shared" si="11"/>
        <v>1</v>
      </c>
      <c r="AA30" s="24">
        <f t="shared" si="12"/>
        <v>0.43795713389443841</v>
      </c>
    </row>
    <row r="31" spans="1:27">
      <c r="A31" s="23">
        <v>26</v>
      </c>
      <c r="B31" s="8">
        <f t="shared" si="0"/>
        <v>72</v>
      </c>
      <c r="C31" s="79">
        <f>_xlfn.XLOOKUP(B31,qx_bg[Age],qx_bg[qx weighted])</f>
        <v>2.2478600000000001E-2</v>
      </c>
      <c r="D31" s="82" t="b">
        <f t="shared" si="1"/>
        <v>1</v>
      </c>
      <c r="E31" s="23" cm="1">
        <f t="array" ref="E31:H31">MMULT(E30:H30,'4_Transitions'!$B$13:$E$16)</f>
        <v>61.293264085052044</v>
      </c>
      <c r="F31" s="8">
        <v>28.512237558539102</v>
      </c>
      <c r="G31" s="8">
        <v>30.190816091883622</v>
      </c>
      <c r="H31" s="24">
        <v>880.00368226452531</v>
      </c>
      <c r="I31" s="68">
        <f t="shared" si="13"/>
        <v>1000</v>
      </c>
      <c r="J31" s="24">
        <f t="shared" si="14"/>
        <v>119.99631773547476</v>
      </c>
      <c r="L31" s="102">
        <f t="shared" si="2"/>
        <v>153049.28042037494</v>
      </c>
      <c r="M31" s="43">
        <f t="shared" si="3"/>
        <v>82771.025632439007</v>
      </c>
      <c r="N31" s="43">
        <f t="shared" si="4"/>
        <v>108128.40783308119</v>
      </c>
      <c r="O31" s="103">
        <f t="shared" si="5"/>
        <v>0</v>
      </c>
      <c r="P31" s="104">
        <f t="shared" si="15"/>
        <v>343948.71388589515</v>
      </c>
      <c r="Q31" s="43">
        <f t="shared" si="6"/>
        <v>650410.04120570712</v>
      </c>
      <c r="R31" s="103">
        <f t="shared" si="16"/>
        <v>994358.75509160222</v>
      </c>
      <c r="T31" s="23">
        <f t="shared" si="7"/>
        <v>46.582880704639557</v>
      </c>
      <c r="U31" s="8">
        <f t="shared" si="8"/>
        <v>20.243688666562761</v>
      </c>
      <c r="V31" s="8">
        <f t="shared" si="9"/>
        <v>18.41639781604901</v>
      </c>
      <c r="W31" s="24">
        <f t="shared" si="10"/>
        <v>0</v>
      </c>
      <c r="X31" s="88">
        <f t="shared" si="17"/>
        <v>85.242967187251324</v>
      </c>
      <c r="Z31" s="23">
        <f t="shared" si="11"/>
        <v>1</v>
      </c>
      <c r="AA31" s="24">
        <f t="shared" si="12"/>
        <v>0.42314698926998884</v>
      </c>
    </row>
    <row r="32" spans="1:27">
      <c r="A32" s="23">
        <v>27</v>
      </c>
      <c r="B32" s="8">
        <f t="shared" si="0"/>
        <v>73</v>
      </c>
      <c r="C32" s="79">
        <f>_xlfn.XLOOKUP(B32,qx_bg[Age],qx_bg[qx weighted])</f>
        <v>2.4292939999999999E-2</v>
      </c>
      <c r="D32" s="82" t="b">
        <f t="shared" si="1"/>
        <v>1</v>
      </c>
      <c r="E32" s="23" cm="1">
        <f t="array" ref="E32:H32">MMULT(E31:H31,'4_Transitions'!$B$13:$E$16)</f>
        <v>54.816242138307643</v>
      </c>
      <c r="F32" s="8">
        <v>25.687948502729313</v>
      </c>
      <c r="G32" s="8">
        <v>27.593077417900599</v>
      </c>
      <c r="H32" s="24">
        <v>891.90273194106248</v>
      </c>
      <c r="I32" s="68">
        <f t="shared" si="13"/>
        <v>1000</v>
      </c>
      <c r="J32" s="24">
        <f t="shared" si="14"/>
        <v>108.09726805893756</v>
      </c>
      <c r="L32" s="102">
        <f t="shared" si="2"/>
        <v>136876.15661935418</v>
      </c>
      <c r="M32" s="43">
        <f t="shared" si="3"/>
        <v>74572.114503423189</v>
      </c>
      <c r="N32" s="43">
        <f t="shared" si="4"/>
        <v>98824.606772210987</v>
      </c>
      <c r="O32" s="103">
        <f t="shared" si="5"/>
        <v>0</v>
      </c>
      <c r="P32" s="104">
        <f t="shared" si="15"/>
        <v>310272.87789498834</v>
      </c>
      <c r="Q32" s="43">
        <f t="shared" si="6"/>
        <v>585914.21719645627</v>
      </c>
      <c r="R32" s="103">
        <f t="shared" si="16"/>
        <v>896187.09509144467</v>
      </c>
      <c r="T32" s="23">
        <f t="shared" si="7"/>
        <v>41.660344025113808</v>
      </c>
      <c r="U32" s="8">
        <f t="shared" si="8"/>
        <v>18.238443436937811</v>
      </c>
      <c r="V32" s="8">
        <f t="shared" si="9"/>
        <v>16.831777224919364</v>
      </c>
      <c r="W32" s="24">
        <f t="shared" si="10"/>
        <v>0</v>
      </c>
      <c r="X32" s="88">
        <f t="shared" si="17"/>
        <v>76.730564686970979</v>
      </c>
      <c r="Z32" s="23">
        <f t="shared" si="11"/>
        <v>1</v>
      </c>
      <c r="AA32" s="24">
        <f t="shared" si="12"/>
        <v>0.40883767079225974</v>
      </c>
    </row>
    <row r="33" spans="1:27">
      <c r="A33" s="23">
        <v>28</v>
      </c>
      <c r="B33" s="8">
        <f t="shared" si="0"/>
        <v>74</v>
      </c>
      <c r="C33" s="79">
        <f>_xlfn.XLOOKUP(B33,qx_bg[Age],qx_bg[qx weighted])</f>
        <v>2.6527039999999998E-2</v>
      </c>
      <c r="D33" s="82" t="b">
        <f t="shared" si="1"/>
        <v>1</v>
      </c>
      <c r="E33" s="23" cm="1">
        <f t="array" ref="E33:H33">MMULT(E32:H32,'4_Transitions'!$B$13:$E$16)</f>
        <v>49.023664296879538</v>
      </c>
      <c r="F33" s="8">
        <v>23.124924568132759</v>
      </c>
      <c r="G33" s="8">
        <v>25.169522583824673</v>
      </c>
      <c r="H33" s="24">
        <v>902.68188855116307</v>
      </c>
      <c r="I33" s="68">
        <f t="shared" si="13"/>
        <v>1000</v>
      </c>
      <c r="J33" s="24">
        <f t="shared" si="14"/>
        <v>97.318111448836973</v>
      </c>
      <c r="L33" s="102">
        <f t="shared" si="2"/>
        <v>122412.0897493082</v>
      </c>
      <c r="M33" s="43">
        <f t="shared" si="3"/>
        <v>67131.656021289396</v>
      </c>
      <c r="N33" s="43">
        <f t="shared" si="4"/>
        <v>90144.645133968064</v>
      </c>
      <c r="O33" s="103">
        <f t="shared" si="5"/>
        <v>0</v>
      </c>
      <c r="P33" s="104">
        <f t="shared" si="15"/>
        <v>279688.39090456569</v>
      </c>
      <c r="Q33" s="43">
        <f t="shared" si="6"/>
        <v>527488.49358055857</v>
      </c>
      <c r="R33" s="103">
        <f t="shared" si="16"/>
        <v>807176.88448512426</v>
      </c>
      <c r="T33" s="23">
        <f t="shared" si="7"/>
        <v>37.257984865628451</v>
      </c>
      <c r="U33" s="8">
        <f t="shared" si="8"/>
        <v>16.418696443374259</v>
      </c>
      <c r="V33" s="8">
        <f t="shared" si="9"/>
        <v>15.353408776133049</v>
      </c>
      <c r="W33" s="24">
        <f t="shared" si="10"/>
        <v>0</v>
      </c>
      <c r="X33" s="88">
        <f t="shared" si="17"/>
        <v>69.030090085135754</v>
      </c>
      <c r="Z33" s="23">
        <f t="shared" si="11"/>
        <v>1</v>
      </c>
      <c r="AA33" s="24">
        <f t="shared" si="12"/>
        <v>0.39501224231136206</v>
      </c>
    </row>
    <row r="34" spans="1:27">
      <c r="A34" s="23">
        <v>29</v>
      </c>
      <c r="B34" s="8">
        <f t="shared" si="0"/>
        <v>75</v>
      </c>
      <c r="C34" s="79">
        <f>_xlfn.XLOOKUP(B34,qx_bg[Age],qx_bg[qx weighted])</f>
        <v>2.9018819999999997E-2</v>
      </c>
      <c r="D34" s="82" t="b">
        <f t="shared" si="1"/>
        <v>1</v>
      </c>
      <c r="E34" s="23" cm="1">
        <f t="array" ref="E34:H34">MMULT(E33:H33,'4_Transitions'!$B$13:$E$16)</f>
        <v>43.843203534990437</v>
      </c>
      <c r="F34" s="8">
        <v>20.802885788013356</v>
      </c>
      <c r="G34" s="8">
        <v>22.918197463400894</v>
      </c>
      <c r="H34" s="24">
        <v>912.43571321359536</v>
      </c>
      <c r="I34" s="68">
        <f t="shared" si="13"/>
        <v>1000</v>
      </c>
      <c r="J34" s="24">
        <f t="shared" si="14"/>
        <v>87.564286786404693</v>
      </c>
      <c r="L34" s="102">
        <f t="shared" si="2"/>
        <v>109476.47922687112</v>
      </c>
      <c r="M34" s="43">
        <f t="shared" si="3"/>
        <v>60390.777442602768</v>
      </c>
      <c r="N34" s="43">
        <f t="shared" si="4"/>
        <v>82081.524215170299</v>
      </c>
      <c r="O34" s="103">
        <f t="shared" si="5"/>
        <v>0</v>
      </c>
      <c r="P34" s="104">
        <f t="shared" si="15"/>
        <v>251948.78088464419</v>
      </c>
      <c r="Q34" s="43">
        <f t="shared" si="6"/>
        <v>474620.32545401005</v>
      </c>
      <c r="R34" s="103">
        <f t="shared" si="16"/>
        <v>726569.10633865418</v>
      </c>
      <c r="T34" s="23">
        <f t="shared" si="7"/>
        <v>33.320834686592733</v>
      </c>
      <c r="U34" s="8">
        <f t="shared" si="8"/>
        <v>14.770048909489482</v>
      </c>
      <c r="V34" s="8">
        <f t="shared" si="9"/>
        <v>13.980100452674545</v>
      </c>
      <c r="W34" s="24">
        <f t="shared" si="10"/>
        <v>0</v>
      </c>
      <c r="X34" s="88">
        <f t="shared" si="17"/>
        <v>62.070984048756756</v>
      </c>
      <c r="Z34" s="23">
        <f t="shared" si="11"/>
        <v>1</v>
      </c>
      <c r="AA34" s="24">
        <f t="shared" si="12"/>
        <v>0.38165434039745127</v>
      </c>
    </row>
    <row r="35" spans="1:27" ht="15.75" thickBot="1">
      <c r="A35" s="25">
        <v>30</v>
      </c>
      <c r="B35" s="26">
        <f t="shared" si="0"/>
        <v>76</v>
      </c>
      <c r="C35" s="80">
        <f>_xlfn.XLOOKUP(B35,qx_bg[Age],qx_bg[qx weighted])</f>
        <v>3.2274779999999996E-2</v>
      </c>
      <c r="D35" s="83" t="b">
        <f t="shared" si="1"/>
        <v>1</v>
      </c>
      <c r="E35" s="25" cm="1">
        <f t="array" ref="E35:H35">MMULT(E34:H34,'4_Transitions'!$B$13:$E$16)</f>
        <v>39.210175815701966</v>
      </c>
      <c r="F35" s="26">
        <v>18.702250872788454</v>
      </c>
      <c r="G35" s="26">
        <v>20.834781434858041</v>
      </c>
      <c r="H35" s="27">
        <v>921.2527918766516</v>
      </c>
      <c r="I35" s="84">
        <f t="shared" si="13"/>
        <v>1000</v>
      </c>
      <c r="J35" s="27">
        <f t="shared" si="14"/>
        <v>78.747208123348457</v>
      </c>
      <c r="L35" s="105">
        <f t="shared" si="2"/>
        <v>97907.809011807811</v>
      </c>
      <c r="M35" s="46">
        <f t="shared" si="3"/>
        <v>54292.63428370488</v>
      </c>
      <c r="N35" s="46">
        <f t="shared" si="4"/>
        <v>74619.769708944077</v>
      </c>
      <c r="O35" s="106">
        <f t="shared" si="5"/>
        <v>0</v>
      </c>
      <c r="P35" s="107">
        <f t="shared" si="15"/>
        <v>226820.21300445677</v>
      </c>
      <c r="Q35" s="46">
        <f t="shared" si="6"/>
        <v>426829.55483057949</v>
      </c>
      <c r="R35" s="106">
        <f t="shared" si="16"/>
        <v>653649.76783503627</v>
      </c>
      <c r="T35" s="25">
        <f t="shared" si="7"/>
        <v>29.799733619933495</v>
      </c>
      <c r="U35" s="26">
        <f t="shared" si="8"/>
        <v>13.278598119679803</v>
      </c>
      <c r="V35" s="26">
        <f t="shared" si="9"/>
        <v>12.709216675263404</v>
      </c>
      <c r="W35" s="27">
        <f t="shared" si="10"/>
        <v>0</v>
      </c>
      <c r="X35" s="89">
        <f t="shared" si="17"/>
        <v>55.787548414876703</v>
      </c>
      <c r="Z35" s="23">
        <f t="shared" si="11"/>
        <v>1</v>
      </c>
      <c r="AA35" s="24">
        <f t="shared" si="12"/>
        <v>0.36874815497338298</v>
      </c>
    </row>
    <row r="36" spans="1:27" ht="15.75" thickBot="1">
      <c r="A36" s="25">
        <v>31</v>
      </c>
      <c r="B36" s="26">
        <f t="shared" si="0"/>
        <v>77</v>
      </c>
      <c r="C36" s="80">
        <f>_xlfn.XLOOKUP(B36,qx_bg[Age],qx_bg[qx weighted])</f>
        <v>3.5604799999999999E-2</v>
      </c>
      <c r="D36" s="83" t="b">
        <f t="shared" si="1"/>
        <v>1</v>
      </c>
      <c r="E36" s="25" cm="1">
        <f t="array" ref="E36:H36">MMULT(E35:H35,'4_Transitions'!$B$13:$E$16)</f>
        <v>35.06673243599225</v>
      </c>
      <c r="F36" s="26">
        <v>16.8043480410436</v>
      </c>
      <c r="G36" s="26">
        <v>18.91320955467404</v>
      </c>
      <c r="H36" s="27">
        <v>929.21570996829018</v>
      </c>
      <c r="I36" s="84">
        <f t="shared" si="13"/>
        <v>1000</v>
      </c>
      <c r="J36" s="27">
        <f t="shared" si="14"/>
        <v>70.784290031709887</v>
      </c>
      <c r="L36" s="105">
        <f t="shared" si="2"/>
        <v>87561.630892672649</v>
      </c>
      <c r="M36" s="46">
        <f t="shared" si="3"/>
        <v>48783.022363149568</v>
      </c>
      <c r="N36" s="46">
        <f t="shared" si="4"/>
        <v>67737.660020065072</v>
      </c>
      <c r="O36" s="106">
        <f t="shared" si="5"/>
        <v>0</v>
      </c>
      <c r="P36" s="107">
        <f t="shared" si="15"/>
        <v>204082.31327588728</v>
      </c>
      <c r="Q36" s="46">
        <f t="shared" si="6"/>
        <v>383668.54804437549</v>
      </c>
      <c r="R36" s="106">
        <f t="shared" si="16"/>
        <v>587750.86132026277</v>
      </c>
      <c r="T36" s="25">
        <f t="shared" si="7"/>
        <v>26.650716651354109</v>
      </c>
      <c r="U36" s="26">
        <f t="shared" si="8"/>
        <v>11.931087109140956</v>
      </c>
      <c r="V36" s="26">
        <f t="shared" si="9"/>
        <v>11.537057828351164</v>
      </c>
      <c r="W36" s="27">
        <f t="shared" si="10"/>
        <v>0</v>
      </c>
      <c r="X36" s="89">
        <f t="shared" si="17"/>
        <v>50.118861588846229</v>
      </c>
      <c r="Z36" s="25">
        <f t="shared" si="11"/>
        <v>0.5</v>
      </c>
      <c r="AA36" s="27">
        <f t="shared" si="12"/>
        <v>0.35627841060230236</v>
      </c>
    </row>
    <row r="37" spans="1:27" ht="15.75" thickBot="1"/>
    <row r="38" spans="1:27" ht="15.75" thickBot="1">
      <c r="I38" s="98" t="s">
        <v>282</v>
      </c>
      <c r="J38" s="99">
        <f>SUMPRODUCT(J6:J36,$Z$6:$Z$36)/n_cohort</f>
        <v>12.06051155912998</v>
      </c>
      <c r="K38" s="98" t="s">
        <v>281</v>
      </c>
      <c r="L38" s="108">
        <f t="shared" ref="L38:R38" si="18">SUMPRODUCT(L6:L36,$Z$6:$Z$36,$AA$6:$AA$36)/n_cohort</f>
        <v>16909.265242011017</v>
      </c>
      <c r="M38" s="108">
        <f t="shared" si="18"/>
        <v>4075.4424453877027</v>
      </c>
      <c r="N38" s="108">
        <f t="shared" si="18"/>
        <v>3125.3292059250521</v>
      </c>
      <c r="O38" s="108">
        <f t="shared" si="18"/>
        <v>0</v>
      </c>
      <c r="P38" s="108">
        <f t="shared" si="18"/>
        <v>24110.03689332377</v>
      </c>
      <c r="Q38" s="108">
        <f t="shared" si="18"/>
        <v>49044.245111149605</v>
      </c>
      <c r="R38" s="109">
        <f t="shared" si="18"/>
        <v>73154.282004473367</v>
      </c>
      <c r="S38" s="100"/>
      <c r="T38" s="100">
        <f>SUMPRODUCT(T6:T36,$Z$6:$Z$36,$AA$6:$AA$36)/n_cohort</f>
        <v>5.146592544624899</v>
      </c>
      <c r="U38" s="100">
        <f>SUMPRODUCT(U6:U36,$Z$6:$Z$36,$AA$6:$AA$36)/n_cohort</f>
        <v>0.99674961633664116</v>
      </c>
      <c r="V38" s="100">
        <f>SUMPRODUCT(V6:V36,$Z$6:$Z$36,$AA$6:$AA$36)/n_cohort</f>
        <v>0.53230512791128903</v>
      </c>
      <c r="W38" s="100">
        <f>SUMPRODUCT(W6:W36,$Z$6:$Z$36,$AA$6:$AA$36)/n_cohort</f>
        <v>0</v>
      </c>
      <c r="X38" s="101">
        <f>SUMPRODUCT(X6:X36,$Z$6:$Z$36,$AA$6:$AA$36)/n_cohort</f>
        <v>6.6756472888728275</v>
      </c>
    </row>
    <row r="39" spans="1:27">
      <c r="I39" t="s">
        <v>283</v>
      </c>
    </row>
  </sheetData>
  <conditionalFormatting sqref="I6:I36">
    <cfRule type="cellIs" dxfId="4" priority="1" operator="equal">
      <formula>1000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7F81-AE22-44A6-A9D1-99C7D48D83D5}">
  <dimension ref="A1:J17"/>
  <sheetViews>
    <sheetView workbookViewId="0">
      <selection sqref="A1:XFD1"/>
    </sheetView>
  </sheetViews>
  <sheetFormatPr defaultRowHeight="15"/>
  <cols>
    <col min="1" max="1" width="15.42578125" customWidth="1"/>
    <col min="2" max="3" width="14.5703125" bestFit="1" customWidth="1"/>
    <col min="4" max="4" width="18" bestFit="1" customWidth="1"/>
    <col min="5" max="5" width="15.85546875" customWidth="1"/>
    <col min="6" max="6" width="17.85546875" bestFit="1" customWidth="1"/>
    <col min="7" max="7" width="13.28515625" bestFit="1" customWidth="1"/>
    <col min="10" max="10" width="11.7109375" customWidth="1"/>
    <col min="12" max="12" width="11.42578125" customWidth="1"/>
  </cols>
  <sheetData>
    <row r="1" spans="1:10" s="7" customFormat="1" ht="31.5">
      <c r="A1" s="7" t="s">
        <v>57</v>
      </c>
      <c r="D1" s="6"/>
      <c r="J1" s="6"/>
    </row>
    <row r="3" spans="1:10" s="7" customFormat="1" ht="31.5">
      <c r="A3" s="7" t="s">
        <v>293</v>
      </c>
      <c r="D3" s="6"/>
      <c r="J3" s="6"/>
    </row>
    <row r="4" spans="1:10" ht="15.75" thickBot="1"/>
    <row r="5" spans="1:10">
      <c r="A5" s="141" t="s">
        <v>288</v>
      </c>
      <c r="B5" s="11" t="s">
        <v>289</v>
      </c>
      <c r="C5" s="11" t="s">
        <v>290</v>
      </c>
      <c r="D5" s="142" t="s">
        <v>294</v>
      </c>
      <c r="E5" s="142" t="s">
        <v>295</v>
      </c>
      <c r="F5" s="142" t="s">
        <v>296</v>
      </c>
      <c r="G5" s="143" t="s">
        <v>297</v>
      </c>
    </row>
    <row r="6" spans="1:10">
      <c r="A6" s="23" t="s">
        <v>287</v>
      </c>
      <c r="B6" s="9">
        <f>TC_disc_sc</f>
        <v>23485.444800937286</v>
      </c>
      <c r="C6" s="9">
        <f>TQ_disc_sc</f>
        <v>6.2375174438967544</v>
      </c>
      <c r="D6" s="8">
        <f>LY_aza</f>
        <v>11.1614009440214</v>
      </c>
      <c r="E6" s="145"/>
      <c r="F6" s="145"/>
      <c r="G6" s="146"/>
    </row>
    <row r="7" spans="1:10" ht="15.75" thickBot="1">
      <c r="A7" s="25" t="s">
        <v>62</v>
      </c>
      <c r="B7" s="18">
        <f>TC_disc_ev</f>
        <v>73154.282004473367</v>
      </c>
      <c r="C7" s="18">
        <f>TQ_disc_ev</f>
        <v>6.6756472888728275</v>
      </c>
      <c r="D7" s="26">
        <f>LY_eve</f>
        <v>12.06051155912998</v>
      </c>
      <c r="E7" s="18">
        <f>B7-B6</f>
        <v>49668.837203536081</v>
      </c>
      <c r="F7" s="18">
        <f>C7-C6</f>
        <v>0.4381298449760731</v>
      </c>
      <c r="G7" s="144">
        <f>E7/F7</f>
        <v>113365.56450804799</v>
      </c>
    </row>
    <row r="9" spans="1:10" s="7" customFormat="1" ht="31.5">
      <c r="A9" s="7" t="s">
        <v>298</v>
      </c>
      <c r="D9" s="6"/>
      <c r="J9" s="6"/>
    </row>
    <row r="10" spans="1:10" ht="15.75" thickBot="1"/>
    <row r="11" spans="1:10">
      <c r="A11" s="141" t="s">
        <v>288</v>
      </c>
      <c r="B11" s="142" t="s">
        <v>299</v>
      </c>
      <c r="C11" s="143" t="s">
        <v>300</v>
      </c>
    </row>
    <row r="12" spans="1:10">
      <c r="A12" s="38" t="s">
        <v>287</v>
      </c>
      <c r="B12" s="8">
        <f>Thre_LOW*C6-B6</f>
        <v>132452.49129648157</v>
      </c>
      <c r="C12" s="24">
        <f>Thre_HIGH*C6-B6</f>
        <v>194827.66573544912</v>
      </c>
    </row>
    <row r="13" spans="1:10">
      <c r="A13" s="38" t="s">
        <v>62</v>
      </c>
      <c r="B13" s="47">
        <f>Thre_LOW*C7-B7</f>
        <v>93736.900217347327</v>
      </c>
      <c r="C13" s="147">
        <f>Thre_HIGH*C7-B7</f>
        <v>160493.37310607563</v>
      </c>
    </row>
    <row r="14" spans="1:10">
      <c r="A14" s="50" t="s">
        <v>301</v>
      </c>
      <c r="B14" s="9">
        <f>B13-B12</f>
        <v>-38715.591079134247</v>
      </c>
      <c r="C14" s="13">
        <f>C13-C12</f>
        <v>-34334.292629373493</v>
      </c>
    </row>
    <row r="15" spans="1:10" ht="15.75" thickBot="1">
      <c r="A15" s="45" t="s">
        <v>302</v>
      </c>
      <c r="B15" s="26" t="str">
        <f>IF(B14&gt;0,"Yes","No")</f>
        <v>No</v>
      </c>
      <c r="C15" s="27" t="str">
        <f>IF(C14&gt;0,"Yes","No")</f>
        <v>No</v>
      </c>
    </row>
    <row r="17" spans="1:10" s="7" customFormat="1" ht="31.5">
      <c r="A17" s="7" t="s">
        <v>303</v>
      </c>
      <c r="D17" s="6"/>
      <c r="J17" s="6"/>
    </row>
  </sheetData>
  <conditionalFormatting sqref="B14:C14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G7">
    <cfRule type="cellIs" dxfId="1" priority="3" operator="lessThan">
      <formula>35000</formula>
    </cfRule>
    <cfRule type="cellIs" dxfId="0" priority="4" operator="greaterThan">
      <formula>35000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308E-14C0-4F33-A84E-D6749182E0D3}">
  <dimension ref="A1:K13"/>
  <sheetViews>
    <sheetView workbookViewId="0">
      <selection activeCell="K40" sqref="K40"/>
    </sheetView>
  </sheetViews>
  <sheetFormatPr defaultRowHeight="15"/>
  <cols>
    <col min="1" max="1" width="18" bestFit="1" customWidth="1"/>
    <col min="2" max="2" width="21.5703125" bestFit="1" customWidth="1"/>
    <col min="3" max="3" width="7.28515625" customWidth="1"/>
    <col min="4" max="4" width="6.7109375" customWidth="1"/>
    <col min="5" max="5" width="7.140625" customWidth="1"/>
    <col min="6" max="6" width="13.7109375" customWidth="1"/>
    <col min="7" max="7" width="12.85546875" customWidth="1"/>
    <col min="8" max="8" width="13.42578125" customWidth="1"/>
    <col min="9" max="9" width="9.5703125" bestFit="1" customWidth="1"/>
    <col min="10" max="10" width="20.42578125" customWidth="1"/>
    <col min="11" max="11" width="20.85546875" customWidth="1"/>
  </cols>
  <sheetData>
    <row r="1" spans="1:11" s="7" customFormat="1" ht="31.5">
      <c r="A1" s="7" t="s">
        <v>324</v>
      </c>
      <c r="D1" s="6"/>
      <c r="J1" s="6"/>
    </row>
    <row r="3" spans="1:11">
      <c r="A3" s="148" t="s">
        <v>146</v>
      </c>
      <c r="B3" s="148" t="s">
        <v>308</v>
      </c>
      <c r="C3" s="153" t="s">
        <v>206</v>
      </c>
      <c r="D3" s="154" t="s">
        <v>207</v>
      </c>
      <c r="E3" s="155" t="s">
        <v>208</v>
      </c>
      <c r="F3" s="153" t="s">
        <v>321</v>
      </c>
      <c r="G3" s="154" t="s">
        <v>309</v>
      </c>
      <c r="H3" s="155" t="s">
        <v>310</v>
      </c>
      <c r="I3" s="148" t="s">
        <v>311</v>
      </c>
      <c r="J3" t="s">
        <v>322</v>
      </c>
      <c r="K3" t="s">
        <v>323</v>
      </c>
    </row>
    <row r="4" spans="1:11">
      <c r="A4" s="41" t="s">
        <v>234</v>
      </c>
      <c r="B4" s="41" t="s">
        <v>318</v>
      </c>
      <c r="C4" s="150">
        <v>2725</v>
      </c>
      <c r="D4" s="150">
        <v>2044</v>
      </c>
      <c r="E4" s="150">
        <v>3406</v>
      </c>
      <c r="F4" s="157">
        <v>113365.56450804799</v>
      </c>
      <c r="G4" s="157">
        <v>113402.16849310485</v>
      </c>
      <c r="H4" s="157">
        <v>113328.96052299112</v>
      </c>
      <c r="I4" s="159">
        <f t="shared" ref="I4:I12" si="0">ABS(H4-G4)</f>
        <v>73.207970113726333</v>
      </c>
      <c r="J4" s="159">
        <f t="shared" ref="J4:J12" si="1">G4-F4</f>
        <v>36.603985056863166</v>
      </c>
      <c r="K4" s="159">
        <f t="shared" ref="K4:K12" si="2">H4-F4</f>
        <v>-36.603985056863166</v>
      </c>
    </row>
    <row r="5" spans="1:11">
      <c r="A5" s="41" t="s">
        <v>231</v>
      </c>
      <c r="B5" s="41" t="s">
        <v>316</v>
      </c>
      <c r="C5" s="41">
        <v>203</v>
      </c>
      <c r="D5" s="41">
        <v>152</v>
      </c>
      <c r="E5" s="41">
        <v>254</v>
      </c>
      <c r="F5" s="157">
        <v>113365.56450804799</v>
      </c>
      <c r="G5" s="157">
        <v>113325.25568551241</v>
      </c>
      <c r="H5" s="157">
        <v>113405.87333058352</v>
      </c>
      <c r="I5" s="159">
        <f t="shared" si="0"/>
        <v>80.617645071106381</v>
      </c>
      <c r="J5" s="159">
        <f t="shared" si="1"/>
        <v>-40.308822535575018</v>
      </c>
      <c r="K5" s="159">
        <f t="shared" si="2"/>
        <v>40.308822535531363</v>
      </c>
    </row>
    <row r="6" spans="1:11">
      <c r="A6" s="41" t="s">
        <v>235</v>
      </c>
      <c r="B6" s="41" t="s">
        <v>319</v>
      </c>
      <c r="C6" s="151">
        <v>0.1</v>
      </c>
      <c r="D6" s="151">
        <v>0.05</v>
      </c>
      <c r="E6" s="151">
        <v>0.3</v>
      </c>
      <c r="F6" s="157">
        <v>113365.56450804799</v>
      </c>
      <c r="G6" s="157">
        <v>113438.79935333427</v>
      </c>
      <c r="H6" s="157">
        <v>113072.6251269028</v>
      </c>
      <c r="I6" s="159">
        <f t="shared" si="0"/>
        <v>366.1742264314671</v>
      </c>
      <c r="J6" s="159">
        <f t="shared" si="1"/>
        <v>73.234845286278869</v>
      </c>
      <c r="K6" s="159">
        <f t="shared" si="2"/>
        <v>-292.93938114518824</v>
      </c>
    </row>
    <row r="7" spans="1:11">
      <c r="A7" s="41" t="s">
        <v>233</v>
      </c>
      <c r="B7" s="41" t="s">
        <v>317</v>
      </c>
      <c r="C7" s="150">
        <v>1685</v>
      </c>
      <c r="D7" s="150">
        <v>1264</v>
      </c>
      <c r="E7" s="150">
        <v>2106</v>
      </c>
      <c r="F7" s="157">
        <v>113365.56450804799</v>
      </c>
      <c r="G7" s="157">
        <v>112879.51312805089</v>
      </c>
      <c r="H7" s="157">
        <v>113851.61588804514</v>
      </c>
      <c r="I7" s="159">
        <f t="shared" si="0"/>
        <v>972.1027599942463</v>
      </c>
      <c r="J7" s="159">
        <f t="shared" si="1"/>
        <v>-486.05137999709405</v>
      </c>
      <c r="K7" s="159">
        <f t="shared" si="2"/>
        <v>486.05137999715225</v>
      </c>
    </row>
    <row r="8" spans="1:11">
      <c r="A8" s="41" t="s">
        <v>226</v>
      </c>
      <c r="B8" s="149" t="s">
        <v>314</v>
      </c>
      <c r="C8" s="41">
        <v>0.05</v>
      </c>
      <c r="D8" s="41">
        <v>2.5000000000000001E-2</v>
      </c>
      <c r="E8" s="41">
        <v>7.4999999999999997E-2</v>
      </c>
      <c r="F8" s="157">
        <v>113365.56450804799</v>
      </c>
      <c r="G8" s="157">
        <v>115793.88160655863</v>
      </c>
      <c r="H8" s="157">
        <v>111037.00403723538</v>
      </c>
      <c r="I8" s="159">
        <f t="shared" si="0"/>
        <v>4756.8775693232456</v>
      </c>
      <c r="J8" s="159">
        <f t="shared" si="1"/>
        <v>2428.3170985106408</v>
      </c>
      <c r="K8" s="159">
        <f t="shared" si="2"/>
        <v>-2328.5604708126048</v>
      </c>
    </row>
    <row r="9" spans="1:11">
      <c r="A9" s="41" t="s">
        <v>229</v>
      </c>
      <c r="B9" s="149" t="s">
        <v>315</v>
      </c>
      <c r="C9" s="41">
        <v>0.15</v>
      </c>
      <c r="D9" s="41">
        <v>7.4999999999999997E-2</v>
      </c>
      <c r="E9" s="41">
        <v>0.22500000000000001</v>
      </c>
      <c r="F9" s="157">
        <v>113365.56450804799</v>
      </c>
      <c r="G9" s="157">
        <v>118127.61454965333</v>
      </c>
      <c r="H9" s="157">
        <v>108972.57919900893</v>
      </c>
      <c r="I9" s="159">
        <f t="shared" si="0"/>
        <v>9155.0353506443935</v>
      </c>
      <c r="J9" s="159">
        <f t="shared" si="1"/>
        <v>4762.0500416053401</v>
      </c>
      <c r="K9" s="159">
        <f t="shared" si="2"/>
        <v>-4392.9853090390534</v>
      </c>
    </row>
    <row r="10" spans="1:11">
      <c r="A10" s="41" t="s">
        <v>312</v>
      </c>
      <c r="B10" s="149" t="s">
        <v>313</v>
      </c>
      <c r="C10" s="41">
        <v>0.76</v>
      </c>
      <c r="D10" s="41">
        <v>0.71</v>
      </c>
      <c r="E10" s="41">
        <v>0.81</v>
      </c>
      <c r="F10" s="157">
        <v>113365.56450804799</v>
      </c>
      <c r="G10" s="157">
        <v>120310.59172115354</v>
      </c>
      <c r="H10" s="157">
        <v>107178.59267033233</v>
      </c>
      <c r="I10" s="159">
        <f t="shared" si="0"/>
        <v>13131.999050821207</v>
      </c>
      <c r="J10" s="159">
        <f t="shared" si="1"/>
        <v>6945.0272131055535</v>
      </c>
      <c r="K10" s="159">
        <f t="shared" si="2"/>
        <v>-6186.9718377156532</v>
      </c>
    </row>
    <row r="11" spans="1:11">
      <c r="A11" s="41" t="s">
        <v>217</v>
      </c>
      <c r="B11" s="149" t="s">
        <v>320</v>
      </c>
      <c r="C11" s="152">
        <v>3.5000000000000003E-2</v>
      </c>
      <c r="D11" s="151">
        <v>0</v>
      </c>
      <c r="E11" s="151">
        <v>0.06</v>
      </c>
      <c r="F11" s="157">
        <v>113365.56450804799</v>
      </c>
      <c r="G11" s="157">
        <v>88403.286723780562</v>
      </c>
      <c r="H11" s="157">
        <v>134375.46835468235</v>
      </c>
      <c r="I11" s="159">
        <f t="shared" si="0"/>
        <v>45972.181630901789</v>
      </c>
      <c r="J11" s="159">
        <f t="shared" si="1"/>
        <v>-24962.277784267426</v>
      </c>
      <c r="K11" s="159">
        <f t="shared" si="2"/>
        <v>21009.903846634363</v>
      </c>
    </row>
    <row r="12" spans="1:11">
      <c r="A12" s="41" t="s">
        <v>219</v>
      </c>
      <c r="B12" s="149" t="s">
        <v>219</v>
      </c>
      <c r="C12" s="41">
        <v>0.68</v>
      </c>
      <c r="D12" s="41">
        <v>0.5</v>
      </c>
      <c r="E12" s="41">
        <v>0.9</v>
      </c>
      <c r="F12" s="157">
        <v>113365.56450804799</v>
      </c>
      <c r="G12" s="157">
        <v>70776.055055118006</v>
      </c>
      <c r="H12" s="157">
        <v>384691.89215521852</v>
      </c>
      <c r="I12" s="159">
        <f t="shared" si="0"/>
        <v>313915.83710010053</v>
      </c>
      <c r="J12" s="159">
        <f t="shared" si="1"/>
        <v>-42589.509452929982</v>
      </c>
      <c r="K12" s="159">
        <f t="shared" si="2"/>
        <v>271326.32764717052</v>
      </c>
    </row>
    <row r="13" spans="1:11">
      <c r="A13" s="41"/>
      <c r="B13" s="149"/>
      <c r="C13" s="41"/>
      <c r="D13" s="41"/>
      <c r="E13" s="41"/>
      <c r="F13" s="157"/>
      <c r="G13" s="157"/>
      <c r="H13" s="157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3DFF-DC7D-4348-AEBB-DF562FABCDE1}">
  <dimension ref="A1"/>
  <sheetViews>
    <sheetView workbookViewId="0">
      <selection activeCell="F22" sqref="F22"/>
    </sheetView>
  </sheetViews>
  <sheetFormatPr defaultRowHeight="15"/>
  <sheetData>
    <row r="1" spans="1:1">
      <c r="A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61</vt:i4>
      </vt:variant>
    </vt:vector>
  </HeadingPairs>
  <TitlesOfParts>
    <vt:vector size="70" baseType="lpstr">
      <vt:lpstr>1_plan</vt:lpstr>
      <vt:lpstr>2_Data</vt:lpstr>
      <vt:lpstr>3_Parameters</vt:lpstr>
      <vt:lpstr>4_Transitions</vt:lpstr>
      <vt:lpstr>5_Markov_SC</vt:lpstr>
      <vt:lpstr>6_Markov_EVE</vt:lpstr>
      <vt:lpstr>7_Results</vt:lpstr>
      <vt:lpstr>8_DSA</vt:lpstr>
      <vt:lpstr>9_PSA</vt:lpstr>
      <vt:lpstr>age_start</vt:lpstr>
      <vt:lpstr>Az_11</vt:lpstr>
      <vt:lpstr>Az_12</vt:lpstr>
      <vt:lpstr>Az_13</vt:lpstr>
      <vt:lpstr>Az_14</vt:lpstr>
      <vt:lpstr>Az_21</vt:lpstr>
      <vt:lpstr>Az_22</vt:lpstr>
      <vt:lpstr>Az_23</vt:lpstr>
      <vt:lpstr>Az_24</vt:lpstr>
      <vt:lpstr>Az_31</vt:lpstr>
      <vt:lpstr>Az_32</vt:lpstr>
      <vt:lpstr>Az_33</vt:lpstr>
      <vt:lpstr>Az_34</vt:lpstr>
      <vt:lpstr>Az_41</vt:lpstr>
      <vt:lpstr>Az_42</vt:lpstr>
      <vt:lpstr>Az_43</vt:lpstr>
      <vt:lpstr>Az_44</vt:lpstr>
      <vt:lpstr>C_1</vt:lpstr>
      <vt:lpstr>C_2</vt:lpstr>
      <vt:lpstr>C_3</vt:lpstr>
      <vt:lpstr>C_4</vt:lpstr>
      <vt:lpstr>c_aza</vt:lpstr>
      <vt:lpstr>c_eve</vt:lpstr>
      <vt:lpstr>dec_2</vt:lpstr>
      <vt:lpstr>dec_3</vt:lpstr>
      <vt:lpstr>disc</vt:lpstr>
      <vt:lpstr>ev_11</vt:lpstr>
      <vt:lpstr>ev_12</vt:lpstr>
      <vt:lpstr>ev_13</vt:lpstr>
      <vt:lpstr>ev_14</vt:lpstr>
      <vt:lpstr>ev_21</vt:lpstr>
      <vt:lpstr>ev_22</vt:lpstr>
      <vt:lpstr>ev_23</vt:lpstr>
      <vt:lpstr>ev_24</vt:lpstr>
      <vt:lpstr>ev_31</vt:lpstr>
      <vt:lpstr>ev_32</vt:lpstr>
      <vt:lpstr>ev_33</vt:lpstr>
      <vt:lpstr>ev_34</vt:lpstr>
      <vt:lpstr>ev_41</vt:lpstr>
      <vt:lpstr>ev_42</vt:lpstr>
      <vt:lpstr>ev_43</vt:lpstr>
      <vt:lpstr>ev_44</vt:lpstr>
      <vt:lpstr>horizon</vt:lpstr>
      <vt:lpstr>ICER</vt:lpstr>
      <vt:lpstr>LY_aza</vt:lpstr>
      <vt:lpstr>LY_eve</vt:lpstr>
      <vt:lpstr>mean_gap</vt:lpstr>
      <vt:lpstr>n_cohort</vt:lpstr>
      <vt:lpstr>RR</vt:lpstr>
      <vt:lpstr>share_male</vt:lpstr>
      <vt:lpstr>TC_disc_ev</vt:lpstr>
      <vt:lpstr>TC_disc_sc</vt:lpstr>
      <vt:lpstr>Thre_HIGH</vt:lpstr>
      <vt:lpstr>Thre_LOW</vt:lpstr>
      <vt:lpstr>Thre_MID</vt:lpstr>
      <vt:lpstr>TQ_disc_ev</vt:lpstr>
      <vt:lpstr>TQ_disc_sc</vt:lpstr>
      <vt:lpstr>u_1</vt:lpstr>
      <vt:lpstr>u_2</vt:lpstr>
      <vt:lpstr>u_3</vt:lpstr>
      <vt:lpstr>u_4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Al Shorbaji</dc:creator>
  <cp:lastModifiedBy>Sultan Al Shorbaji</cp:lastModifiedBy>
  <dcterms:created xsi:type="dcterms:W3CDTF">2026-10-16T13:14:55Z</dcterms:created>
  <dcterms:modified xsi:type="dcterms:W3CDTF">2026-10-25T21:03:02Z</dcterms:modified>
</cp:coreProperties>
</file>